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9b5bc87078c4b3/Documents/FIN/"/>
    </mc:Choice>
  </mc:AlternateContent>
  <xr:revisionPtr revIDLastSave="468" documentId="8_{1919A758-6599-4B5A-90C4-02958C173643}" xr6:coauthVersionLast="47" xr6:coauthVersionMax="47" xr10:uidLastSave="{218902F2-14F3-4F88-BDCE-0D4D34654649}"/>
  <bookViews>
    <workbookView xWindow="-120" yWindow="-120" windowWidth="29040" windowHeight="16440" activeTab="2" xr2:uid="{0A6276C3-9ECC-4557-8A91-AD53F3DA4623}"/>
  </bookViews>
  <sheets>
    <sheet name="Financials" sheetId="1" r:id="rId1"/>
    <sheet name="historicalFS" sheetId="2" r:id="rId2"/>
    <sheet name="Ratio Analysis" sheetId="6" r:id="rId3"/>
    <sheet name="forecasting" sheetId="7" r:id="rId4"/>
    <sheet name="Sheet1" sheetId="8" r:id="rId5"/>
    <sheet name="Data&gt;" sheetId="3" r:id="rId6"/>
    <sheet name="Data Sheet" sheetId="4" r:id="rId7"/>
    <sheet name="Cash Flow Data" sheetId="5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7" l="1" a="1"/>
  <c r="J6" i="7" s="1"/>
  <c r="G3" i="7"/>
  <c r="H6" i="7"/>
  <c r="H7" i="7" s="1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G6" i="7"/>
  <c r="G7" i="7" s="1"/>
  <c r="G8" i="7" s="1"/>
  <c r="G9" i="7" s="1"/>
  <c r="G10" i="7" s="1"/>
  <c r="G11" i="7" s="1"/>
  <c r="G12" i="7" s="1"/>
  <c r="G13" i="7" s="1"/>
  <c r="G14" i="7" s="1"/>
  <c r="G15" i="7" s="1"/>
  <c r="D5" i="7" a="1"/>
  <c r="E6" i="7" s="1"/>
  <c r="B3" i="7"/>
  <c r="C6" i="7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B6" i="7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O42" i="6"/>
  <c r="O41" i="6"/>
  <c r="P42" i="6"/>
  <c r="P41" i="6"/>
  <c r="P25" i="6"/>
  <c r="P24" i="6"/>
  <c r="P23" i="6"/>
  <c r="P22" i="6"/>
  <c r="P21" i="6"/>
  <c r="P19" i="6"/>
  <c r="P18" i="6"/>
  <c r="P17" i="6"/>
  <c r="P15" i="6"/>
  <c r="P14" i="6"/>
  <c r="P13" i="6"/>
  <c r="P12" i="6"/>
  <c r="P11" i="6"/>
  <c r="P9" i="6"/>
  <c r="P8" i="6"/>
  <c r="P7" i="6"/>
  <c r="P6" i="6"/>
  <c r="P5" i="6"/>
  <c r="O25" i="6"/>
  <c r="O24" i="6"/>
  <c r="O23" i="6"/>
  <c r="O22" i="6"/>
  <c r="O21" i="6"/>
  <c r="O19" i="6"/>
  <c r="O18" i="6"/>
  <c r="O17" i="6"/>
  <c r="O15" i="6"/>
  <c r="O14" i="6"/>
  <c r="O13" i="6"/>
  <c r="O12" i="6"/>
  <c r="O11" i="6"/>
  <c r="O9" i="6"/>
  <c r="O8" i="6"/>
  <c r="O7" i="6"/>
  <c r="O6" i="6"/>
  <c r="O5" i="6"/>
  <c r="M42" i="6"/>
  <c r="L42" i="6"/>
  <c r="K42" i="6"/>
  <c r="J42" i="6"/>
  <c r="I42" i="6"/>
  <c r="H42" i="6"/>
  <c r="G42" i="6"/>
  <c r="F42" i="6"/>
  <c r="E42" i="6"/>
  <c r="M41" i="6"/>
  <c r="L41" i="6"/>
  <c r="K41" i="6"/>
  <c r="J41" i="6"/>
  <c r="I41" i="6"/>
  <c r="H41" i="6"/>
  <c r="G41" i="6"/>
  <c r="F41" i="6"/>
  <c r="E41" i="6"/>
  <c r="M40" i="6"/>
  <c r="L40" i="6"/>
  <c r="J40" i="6"/>
  <c r="I40" i="6"/>
  <c r="H40" i="6"/>
  <c r="G40" i="6"/>
  <c r="F40" i="6"/>
  <c r="E40" i="6"/>
  <c r="D40" i="6"/>
  <c r="D42" i="6"/>
  <c r="D41" i="6"/>
  <c r="F38" i="6"/>
  <c r="M31" i="6"/>
  <c r="L31" i="6"/>
  <c r="J31" i="6"/>
  <c r="I31" i="6"/>
  <c r="H31" i="6"/>
  <c r="G31" i="6"/>
  <c r="F31" i="6"/>
  <c r="E31" i="6"/>
  <c r="M30" i="6"/>
  <c r="L30" i="6"/>
  <c r="J30" i="6"/>
  <c r="I30" i="6"/>
  <c r="H30" i="6"/>
  <c r="G30" i="6"/>
  <c r="F30" i="6"/>
  <c r="E30" i="6"/>
  <c r="D31" i="6"/>
  <c r="D30" i="6"/>
  <c r="M32" i="6"/>
  <c r="M38" i="6" s="1"/>
  <c r="L32" i="6"/>
  <c r="L38" i="6" s="1"/>
  <c r="J32" i="6"/>
  <c r="J38" i="6" s="1"/>
  <c r="I32" i="6"/>
  <c r="I38" i="6" s="1"/>
  <c r="H32" i="6"/>
  <c r="H38" i="6" s="1"/>
  <c r="G32" i="6"/>
  <c r="G38" i="6" s="1"/>
  <c r="F32" i="6"/>
  <c r="E32" i="6"/>
  <c r="E38" i="6" s="1"/>
  <c r="M29" i="6"/>
  <c r="M37" i="6" s="1"/>
  <c r="L29" i="6"/>
  <c r="L37" i="6" s="1"/>
  <c r="J29" i="6"/>
  <c r="J37" i="6" s="1"/>
  <c r="I29" i="6"/>
  <c r="I37" i="6" s="1"/>
  <c r="H29" i="6"/>
  <c r="H37" i="6" s="1"/>
  <c r="G29" i="6"/>
  <c r="G37" i="6" s="1"/>
  <c r="F29" i="6"/>
  <c r="F37" i="6" s="1"/>
  <c r="E29" i="6"/>
  <c r="E37" i="6" s="1"/>
  <c r="M28" i="6"/>
  <c r="M36" i="6" s="1"/>
  <c r="L28" i="6"/>
  <c r="L36" i="6" s="1"/>
  <c r="J28" i="6"/>
  <c r="J36" i="6" s="1"/>
  <c r="I28" i="6"/>
  <c r="I36" i="6" s="1"/>
  <c r="H28" i="6"/>
  <c r="H36" i="6" s="1"/>
  <c r="G28" i="6"/>
  <c r="G36" i="6" s="1"/>
  <c r="F28" i="6"/>
  <c r="F36" i="6" s="1"/>
  <c r="E28" i="6"/>
  <c r="E36" i="6" s="1"/>
  <c r="M27" i="6"/>
  <c r="M35" i="6" s="1"/>
  <c r="L27" i="6"/>
  <c r="L35" i="6" s="1"/>
  <c r="J27" i="6"/>
  <c r="J35" i="6" s="1"/>
  <c r="I27" i="6"/>
  <c r="I35" i="6" s="1"/>
  <c r="H27" i="6"/>
  <c r="H35" i="6" s="1"/>
  <c r="G27" i="6"/>
  <c r="G35" i="6" s="1"/>
  <c r="F27" i="6"/>
  <c r="F35" i="6" s="1"/>
  <c r="E27" i="6"/>
  <c r="E35" i="6" s="1"/>
  <c r="D32" i="6"/>
  <c r="D38" i="6" s="1"/>
  <c r="D29" i="6"/>
  <c r="D37" i="6" s="1"/>
  <c r="D28" i="6"/>
  <c r="D36" i="6" s="1"/>
  <c r="D27" i="6"/>
  <c r="D35" i="6" s="1"/>
  <c r="D25" i="6"/>
  <c r="M25" i="6"/>
  <c r="L25" i="6"/>
  <c r="K25" i="6"/>
  <c r="J25" i="6"/>
  <c r="I25" i="6"/>
  <c r="H25" i="6"/>
  <c r="G25" i="6"/>
  <c r="F25" i="6"/>
  <c r="E25" i="6"/>
  <c r="T21" i="2"/>
  <c r="M23" i="6"/>
  <c r="L23" i="6"/>
  <c r="K23" i="6"/>
  <c r="J23" i="6"/>
  <c r="I23" i="6"/>
  <c r="H23" i="6"/>
  <c r="G23" i="6"/>
  <c r="F23" i="6"/>
  <c r="E23" i="6"/>
  <c r="M22" i="6"/>
  <c r="L22" i="6"/>
  <c r="K22" i="6"/>
  <c r="J22" i="6"/>
  <c r="I22" i="6"/>
  <c r="H22" i="6"/>
  <c r="G22" i="6"/>
  <c r="F22" i="6"/>
  <c r="E22" i="6"/>
  <c r="M21" i="6"/>
  <c r="L21" i="6"/>
  <c r="K21" i="6"/>
  <c r="J21" i="6"/>
  <c r="I21" i="6"/>
  <c r="H21" i="6"/>
  <c r="G21" i="6"/>
  <c r="F21" i="6"/>
  <c r="E21" i="6"/>
  <c r="D23" i="6"/>
  <c r="D22" i="6"/>
  <c r="D21" i="6"/>
  <c r="M18" i="6"/>
  <c r="L18" i="6"/>
  <c r="K18" i="6"/>
  <c r="J18" i="6"/>
  <c r="I18" i="6"/>
  <c r="H18" i="6"/>
  <c r="G18" i="6"/>
  <c r="F18" i="6"/>
  <c r="E18" i="6"/>
  <c r="M17" i="6"/>
  <c r="L17" i="6"/>
  <c r="K17" i="6"/>
  <c r="J17" i="6"/>
  <c r="I17" i="6"/>
  <c r="H17" i="6"/>
  <c r="G17" i="6"/>
  <c r="F17" i="6"/>
  <c r="E17" i="6"/>
  <c r="D18" i="6"/>
  <c r="D17" i="6"/>
  <c r="M15" i="6"/>
  <c r="L15" i="6"/>
  <c r="K15" i="6"/>
  <c r="J15" i="6"/>
  <c r="I15" i="6"/>
  <c r="H15" i="6"/>
  <c r="G15" i="6"/>
  <c r="F15" i="6"/>
  <c r="E15" i="6"/>
  <c r="M14" i="6"/>
  <c r="L14" i="6"/>
  <c r="K14" i="6"/>
  <c r="J14" i="6"/>
  <c r="I14" i="6"/>
  <c r="H14" i="6"/>
  <c r="G14" i="6"/>
  <c r="F14" i="6"/>
  <c r="E14" i="6"/>
  <c r="M13" i="6"/>
  <c r="M19" i="6" s="1"/>
  <c r="L13" i="6"/>
  <c r="L19" i="6" s="1"/>
  <c r="K13" i="6"/>
  <c r="K19" i="6" s="1"/>
  <c r="J13" i="6"/>
  <c r="J19" i="6" s="1"/>
  <c r="I13" i="6"/>
  <c r="I19" i="6" s="1"/>
  <c r="H13" i="6"/>
  <c r="H19" i="6" s="1"/>
  <c r="G13" i="6"/>
  <c r="G19" i="6" s="1"/>
  <c r="F13" i="6"/>
  <c r="F19" i="6" s="1"/>
  <c r="E13" i="6"/>
  <c r="E19" i="6" s="1"/>
  <c r="M12" i="6"/>
  <c r="L12" i="6"/>
  <c r="K12" i="6"/>
  <c r="J12" i="6"/>
  <c r="I12" i="6"/>
  <c r="H12" i="6"/>
  <c r="G12" i="6"/>
  <c r="F12" i="6"/>
  <c r="E12" i="6"/>
  <c r="M11" i="6"/>
  <c r="L11" i="6"/>
  <c r="K11" i="6"/>
  <c r="J11" i="6"/>
  <c r="I11" i="6"/>
  <c r="H11" i="6"/>
  <c r="G11" i="6"/>
  <c r="F11" i="6"/>
  <c r="E11" i="6"/>
  <c r="D13" i="6"/>
  <c r="D19" i="6" s="1"/>
  <c r="D15" i="6"/>
  <c r="D14" i="6"/>
  <c r="D12" i="6"/>
  <c r="D11" i="6"/>
  <c r="M9" i="6"/>
  <c r="L9" i="6"/>
  <c r="K9" i="6"/>
  <c r="J9" i="6"/>
  <c r="I9" i="6"/>
  <c r="H9" i="6"/>
  <c r="G9" i="6"/>
  <c r="F9" i="6"/>
  <c r="M8" i="6"/>
  <c r="L8" i="6"/>
  <c r="K8" i="6"/>
  <c r="J8" i="6"/>
  <c r="I8" i="6"/>
  <c r="H8" i="6"/>
  <c r="G8" i="6"/>
  <c r="F8" i="6"/>
  <c r="M7" i="6"/>
  <c r="L7" i="6"/>
  <c r="K7" i="6"/>
  <c r="J7" i="6"/>
  <c r="I7" i="6"/>
  <c r="H7" i="6"/>
  <c r="G7" i="6"/>
  <c r="F7" i="6"/>
  <c r="M6" i="6"/>
  <c r="L6" i="6"/>
  <c r="K6" i="6"/>
  <c r="J6" i="6"/>
  <c r="I6" i="6"/>
  <c r="H6" i="6"/>
  <c r="G6" i="6"/>
  <c r="F6" i="6"/>
  <c r="M5" i="6"/>
  <c r="L5" i="6"/>
  <c r="K5" i="6"/>
  <c r="J5" i="6"/>
  <c r="I5" i="6"/>
  <c r="H5" i="6"/>
  <c r="G5" i="6"/>
  <c r="F5" i="6"/>
  <c r="E9" i="6"/>
  <c r="E8" i="6"/>
  <c r="E7" i="6"/>
  <c r="E6" i="6"/>
  <c r="E5" i="6"/>
  <c r="E19" i="2"/>
  <c r="F19" i="2"/>
  <c r="G19" i="2"/>
  <c r="H19" i="2"/>
  <c r="I19" i="2"/>
  <c r="J19" i="2"/>
  <c r="K19" i="2"/>
  <c r="L19" i="2"/>
  <c r="M19" i="2"/>
  <c r="D22" i="2"/>
  <c r="D19" i="2"/>
  <c r="E7" i="2"/>
  <c r="F7" i="2"/>
  <c r="G7" i="2"/>
  <c r="H7" i="2"/>
  <c r="I7" i="2"/>
  <c r="J7" i="2"/>
  <c r="K7" i="2"/>
  <c r="L7" i="2"/>
  <c r="M7" i="2"/>
  <c r="B2" i="6"/>
  <c r="M3" i="6"/>
  <c r="L3" i="6"/>
  <c r="K3" i="6"/>
  <c r="J3" i="6"/>
  <c r="I3" i="6"/>
  <c r="H3" i="6"/>
  <c r="G3" i="6"/>
  <c r="F3" i="6"/>
  <c r="E3" i="6"/>
  <c r="D3" i="6"/>
  <c r="E13" i="2"/>
  <c r="F13" i="2"/>
  <c r="G13" i="2"/>
  <c r="H13" i="2"/>
  <c r="I13" i="2"/>
  <c r="J13" i="2"/>
  <c r="K13" i="2"/>
  <c r="L13" i="2"/>
  <c r="M13" i="2"/>
  <c r="D13" i="2"/>
  <c r="D95" i="2"/>
  <c r="M108" i="2"/>
  <c r="L108" i="2"/>
  <c r="K108" i="2"/>
  <c r="J108" i="2"/>
  <c r="I108" i="2"/>
  <c r="H108" i="2"/>
  <c r="G108" i="2"/>
  <c r="F108" i="2"/>
  <c r="E108" i="2"/>
  <c r="M107" i="2"/>
  <c r="L107" i="2"/>
  <c r="K107" i="2"/>
  <c r="J107" i="2"/>
  <c r="I107" i="2"/>
  <c r="H107" i="2"/>
  <c r="G107" i="2"/>
  <c r="F107" i="2"/>
  <c r="E107" i="2"/>
  <c r="M106" i="2"/>
  <c r="L106" i="2"/>
  <c r="K106" i="2"/>
  <c r="J106" i="2"/>
  <c r="I106" i="2"/>
  <c r="H106" i="2"/>
  <c r="G106" i="2"/>
  <c r="F106" i="2"/>
  <c r="E106" i="2"/>
  <c r="M105" i="2"/>
  <c r="L105" i="2"/>
  <c r="K105" i="2"/>
  <c r="J105" i="2"/>
  <c r="I105" i="2"/>
  <c r="H105" i="2"/>
  <c r="G105" i="2"/>
  <c r="F105" i="2"/>
  <c r="E105" i="2"/>
  <c r="D108" i="2"/>
  <c r="D107" i="2"/>
  <c r="D106" i="2"/>
  <c r="D105" i="2"/>
  <c r="C87" i="4"/>
  <c r="D87" i="4"/>
  <c r="E87" i="4"/>
  <c r="F87" i="4"/>
  <c r="G87" i="4"/>
  <c r="H87" i="4"/>
  <c r="I87" i="4"/>
  <c r="J87" i="4"/>
  <c r="K87" i="4"/>
  <c r="B87" i="4"/>
  <c r="D92" i="2"/>
  <c r="D96" i="2" s="1"/>
  <c r="E92" i="2"/>
  <c r="F92" i="2"/>
  <c r="G92" i="2"/>
  <c r="H92" i="2"/>
  <c r="I92" i="2"/>
  <c r="J92" i="2"/>
  <c r="K92" i="2"/>
  <c r="L92" i="2"/>
  <c r="M92" i="2"/>
  <c r="D93" i="2"/>
  <c r="E93" i="2"/>
  <c r="F93" i="2"/>
  <c r="G93" i="2"/>
  <c r="H93" i="2"/>
  <c r="I93" i="2"/>
  <c r="J93" i="2"/>
  <c r="K93" i="2"/>
  <c r="L93" i="2"/>
  <c r="M93" i="2"/>
  <c r="D94" i="2"/>
  <c r="E94" i="2"/>
  <c r="F94" i="2"/>
  <c r="G94" i="2"/>
  <c r="H94" i="2"/>
  <c r="I94" i="2"/>
  <c r="J94" i="2"/>
  <c r="K94" i="2"/>
  <c r="L94" i="2"/>
  <c r="M94" i="2"/>
  <c r="E95" i="2"/>
  <c r="F95" i="2"/>
  <c r="G95" i="2"/>
  <c r="H95" i="2"/>
  <c r="I95" i="2"/>
  <c r="J95" i="2"/>
  <c r="K95" i="2"/>
  <c r="L95" i="2"/>
  <c r="M95" i="2"/>
  <c r="D19" i="7" l="1"/>
  <c r="E7" i="7"/>
  <c r="E10" i="7"/>
  <c r="E8" i="7"/>
  <c r="E9" i="7"/>
  <c r="E11" i="7"/>
  <c r="J7" i="7"/>
  <c r="J13" i="7"/>
  <c r="D18" i="7"/>
  <c r="E19" i="7" s="1"/>
  <c r="E15" i="7"/>
  <c r="E12" i="7"/>
  <c r="J8" i="7"/>
  <c r="J9" i="7"/>
  <c r="D16" i="7"/>
  <c r="D17" i="7"/>
  <c r="I15" i="7"/>
  <c r="J15" i="7" s="1"/>
  <c r="E13" i="7"/>
  <c r="E14" i="7"/>
  <c r="J11" i="7"/>
  <c r="D15" i="7"/>
  <c r="J12" i="7"/>
  <c r="G16" i="7"/>
  <c r="I16" i="7" s="1"/>
  <c r="J14" i="7"/>
  <c r="J10" i="7"/>
  <c r="L24" i="6"/>
  <c r="I24" i="6"/>
  <c r="M24" i="6"/>
  <c r="E24" i="6"/>
  <c r="F24" i="6"/>
  <c r="K24" i="6"/>
  <c r="D24" i="6"/>
  <c r="J24" i="6"/>
  <c r="G24" i="6"/>
  <c r="H24" i="6"/>
  <c r="E96" i="2"/>
  <c r="F96" i="2"/>
  <c r="G96" i="2"/>
  <c r="H96" i="2"/>
  <c r="I96" i="2"/>
  <c r="J96" i="2"/>
  <c r="K96" i="2"/>
  <c r="L96" i="2"/>
  <c r="M96" i="2"/>
  <c r="D88" i="2"/>
  <c r="D89" i="2" s="1"/>
  <c r="M88" i="2"/>
  <c r="L88" i="2"/>
  <c r="K88" i="2"/>
  <c r="J88" i="2"/>
  <c r="I88" i="2"/>
  <c r="H88" i="2"/>
  <c r="G88" i="2"/>
  <c r="F88" i="2"/>
  <c r="E88" i="2"/>
  <c r="M87" i="2"/>
  <c r="L87" i="2"/>
  <c r="K87" i="2"/>
  <c r="J87" i="2"/>
  <c r="I87" i="2"/>
  <c r="H87" i="2"/>
  <c r="G87" i="2"/>
  <c r="F87" i="2"/>
  <c r="E87" i="2"/>
  <c r="M86" i="2"/>
  <c r="L86" i="2"/>
  <c r="K86" i="2"/>
  <c r="J86" i="2"/>
  <c r="I86" i="2"/>
  <c r="H86" i="2"/>
  <c r="G86" i="2"/>
  <c r="F86" i="2"/>
  <c r="E86" i="2"/>
  <c r="M85" i="2"/>
  <c r="L85" i="2"/>
  <c r="K85" i="2"/>
  <c r="J85" i="2"/>
  <c r="I85" i="2"/>
  <c r="H85" i="2"/>
  <c r="G85" i="2"/>
  <c r="F85" i="2"/>
  <c r="E85" i="2"/>
  <c r="M84" i="2"/>
  <c r="L84" i="2"/>
  <c r="K84" i="2"/>
  <c r="J84" i="2"/>
  <c r="I84" i="2"/>
  <c r="H84" i="2"/>
  <c r="G84" i="2"/>
  <c r="F84" i="2"/>
  <c r="E84" i="2"/>
  <c r="M83" i="2"/>
  <c r="L83" i="2"/>
  <c r="K83" i="2"/>
  <c r="J83" i="2"/>
  <c r="I83" i="2"/>
  <c r="H83" i="2"/>
  <c r="G83" i="2"/>
  <c r="F83" i="2"/>
  <c r="E83" i="2"/>
  <c r="D87" i="2"/>
  <c r="D86" i="2"/>
  <c r="D85" i="2"/>
  <c r="D84" i="2"/>
  <c r="D83" i="2"/>
  <c r="M79" i="2"/>
  <c r="L79" i="2"/>
  <c r="K79" i="2"/>
  <c r="J79" i="2"/>
  <c r="I79" i="2"/>
  <c r="H79" i="2"/>
  <c r="G79" i="2"/>
  <c r="F79" i="2"/>
  <c r="E79" i="2"/>
  <c r="M78" i="2"/>
  <c r="L78" i="2"/>
  <c r="K78" i="2"/>
  <c r="J78" i="2"/>
  <c r="I78" i="2"/>
  <c r="H78" i="2"/>
  <c r="G78" i="2"/>
  <c r="F78" i="2"/>
  <c r="E78" i="2"/>
  <c r="M77" i="2"/>
  <c r="L77" i="2"/>
  <c r="K77" i="2"/>
  <c r="J77" i="2"/>
  <c r="I77" i="2"/>
  <c r="H77" i="2"/>
  <c r="G77" i="2"/>
  <c r="F77" i="2"/>
  <c r="E77" i="2"/>
  <c r="M76" i="2"/>
  <c r="L76" i="2"/>
  <c r="K76" i="2"/>
  <c r="J76" i="2"/>
  <c r="I76" i="2"/>
  <c r="H76" i="2"/>
  <c r="G76" i="2"/>
  <c r="F76" i="2"/>
  <c r="E76" i="2"/>
  <c r="M75" i="2"/>
  <c r="L75" i="2"/>
  <c r="K75" i="2"/>
  <c r="J75" i="2"/>
  <c r="I75" i="2"/>
  <c r="H75" i="2"/>
  <c r="G75" i="2"/>
  <c r="F75" i="2"/>
  <c r="E75" i="2"/>
  <c r="M74" i="2"/>
  <c r="L74" i="2"/>
  <c r="K74" i="2"/>
  <c r="J74" i="2"/>
  <c r="I74" i="2"/>
  <c r="H74" i="2"/>
  <c r="G74" i="2"/>
  <c r="F74" i="2"/>
  <c r="E74" i="2"/>
  <c r="M73" i="2"/>
  <c r="L73" i="2"/>
  <c r="K73" i="2"/>
  <c r="J73" i="2"/>
  <c r="I73" i="2"/>
  <c r="H73" i="2"/>
  <c r="G73" i="2"/>
  <c r="F73" i="2"/>
  <c r="E73" i="2"/>
  <c r="M72" i="2"/>
  <c r="L72" i="2"/>
  <c r="K72" i="2"/>
  <c r="J72" i="2"/>
  <c r="I72" i="2"/>
  <c r="H72" i="2"/>
  <c r="G72" i="2"/>
  <c r="F72" i="2"/>
  <c r="E72" i="2"/>
  <c r="M71" i="2"/>
  <c r="L71" i="2"/>
  <c r="K71" i="2"/>
  <c r="J71" i="2"/>
  <c r="I71" i="2"/>
  <c r="H71" i="2"/>
  <c r="G71" i="2"/>
  <c r="F71" i="2"/>
  <c r="E71" i="2"/>
  <c r="D79" i="2"/>
  <c r="D78" i="2"/>
  <c r="D77" i="2"/>
  <c r="D76" i="2"/>
  <c r="D75" i="2"/>
  <c r="D74" i="2"/>
  <c r="D73" i="2"/>
  <c r="D72" i="2"/>
  <c r="D71" i="2"/>
  <c r="E56" i="2"/>
  <c r="F56" i="2"/>
  <c r="G56" i="2"/>
  <c r="H56" i="2"/>
  <c r="I56" i="2"/>
  <c r="J56" i="2"/>
  <c r="K56" i="2"/>
  <c r="L56" i="2"/>
  <c r="M56" i="2"/>
  <c r="D56" i="2"/>
  <c r="D59" i="2"/>
  <c r="N61" i="2"/>
  <c r="M61" i="2"/>
  <c r="L61" i="2"/>
  <c r="K61" i="2"/>
  <c r="J61" i="2"/>
  <c r="I61" i="2"/>
  <c r="H61" i="2"/>
  <c r="G61" i="2"/>
  <c r="F61" i="2"/>
  <c r="E61" i="2"/>
  <c r="N60" i="2"/>
  <c r="M60" i="2"/>
  <c r="L60" i="2"/>
  <c r="K60" i="2"/>
  <c r="J60" i="2"/>
  <c r="I60" i="2"/>
  <c r="H60" i="2"/>
  <c r="G60" i="2"/>
  <c r="F60" i="2"/>
  <c r="E60" i="2"/>
  <c r="N59" i="2"/>
  <c r="M59" i="2"/>
  <c r="L59" i="2"/>
  <c r="K59" i="2"/>
  <c r="J59" i="2"/>
  <c r="I59" i="2"/>
  <c r="H59" i="2"/>
  <c r="G59" i="2"/>
  <c r="F59" i="2"/>
  <c r="E59" i="2"/>
  <c r="D61" i="2"/>
  <c r="D60" i="2"/>
  <c r="N57" i="2"/>
  <c r="N56" i="2"/>
  <c r="N55" i="2"/>
  <c r="M55" i="2"/>
  <c r="L55" i="2"/>
  <c r="K55" i="2"/>
  <c r="J55" i="2"/>
  <c r="I55" i="2"/>
  <c r="H55" i="2"/>
  <c r="G55" i="2"/>
  <c r="F55" i="2"/>
  <c r="E55" i="2"/>
  <c r="D55" i="2"/>
  <c r="N54" i="2"/>
  <c r="M54" i="2"/>
  <c r="L54" i="2"/>
  <c r="K54" i="2"/>
  <c r="J54" i="2"/>
  <c r="I54" i="2"/>
  <c r="H54" i="2"/>
  <c r="G54" i="2"/>
  <c r="F54" i="2"/>
  <c r="E54" i="2"/>
  <c r="D54" i="2"/>
  <c r="N53" i="2"/>
  <c r="M53" i="2"/>
  <c r="L53" i="2"/>
  <c r="K53" i="2"/>
  <c r="J53" i="2"/>
  <c r="I53" i="2"/>
  <c r="H53" i="2"/>
  <c r="G53" i="2"/>
  <c r="F53" i="2"/>
  <c r="E53" i="2"/>
  <c r="D53" i="2"/>
  <c r="E51" i="2"/>
  <c r="F51" i="2"/>
  <c r="G51" i="2"/>
  <c r="H51" i="2"/>
  <c r="I51" i="2"/>
  <c r="J51" i="2"/>
  <c r="K51" i="2"/>
  <c r="L51" i="2"/>
  <c r="M51" i="2"/>
  <c r="N51" i="2"/>
  <c r="D51" i="2"/>
  <c r="E50" i="2"/>
  <c r="F50" i="2"/>
  <c r="G50" i="2"/>
  <c r="H50" i="2"/>
  <c r="I50" i="2"/>
  <c r="J50" i="2"/>
  <c r="K50" i="2"/>
  <c r="L50" i="2"/>
  <c r="M50" i="2"/>
  <c r="N50" i="2"/>
  <c r="D50" i="2"/>
  <c r="E49" i="2"/>
  <c r="F49" i="2"/>
  <c r="G49" i="2"/>
  <c r="H49" i="2"/>
  <c r="I49" i="2"/>
  <c r="J49" i="2"/>
  <c r="K49" i="2"/>
  <c r="L49" i="2"/>
  <c r="M49" i="2"/>
  <c r="N49" i="2"/>
  <c r="D49" i="2"/>
  <c r="D48" i="2"/>
  <c r="E48" i="2"/>
  <c r="F48" i="2"/>
  <c r="G48" i="2"/>
  <c r="H48" i="2"/>
  <c r="I48" i="2"/>
  <c r="J48" i="2"/>
  <c r="K48" i="2"/>
  <c r="L48" i="2"/>
  <c r="M48" i="2"/>
  <c r="N48" i="2"/>
  <c r="D47" i="2"/>
  <c r="E47" i="2"/>
  <c r="F47" i="2"/>
  <c r="G47" i="2"/>
  <c r="H47" i="2"/>
  <c r="I47" i="2"/>
  <c r="J47" i="2"/>
  <c r="K47" i="2"/>
  <c r="L47" i="2"/>
  <c r="M47" i="2"/>
  <c r="N47" i="2"/>
  <c r="E9" i="2"/>
  <c r="F9" i="2"/>
  <c r="G9" i="2"/>
  <c r="H9" i="2"/>
  <c r="I9" i="2"/>
  <c r="J9" i="2"/>
  <c r="K9" i="2"/>
  <c r="L9" i="2"/>
  <c r="M9" i="2"/>
  <c r="N9" i="2"/>
  <c r="D9" i="2"/>
  <c r="E36" i="2"/>
  <c r="E41" i="2" s="1"/>
  <c r="F36" i="2"/>
  <c r="F41" i="2" s="1"/>
  <c r="G36" i="2"/>
  <c r="G41" i="2" s="1"/>
  <c r="H36" i="2"/>
  <c r="H41" i="2" s="1"/>
  <c r="I36" i="2"/>
  <c r="I41" i="2" s="1"/>
  <c r="J36" i="2"/>
  <c r="J41" i="2" s="1"/>
  <c r="K36" i="2"/>
  <c r="K41" i="2" s="1"/>
  <c r="L36" i="2"/>
  <c r="L41" i="2" s="1"/>
  <c r="M36" i="2"/>
  <c r="M41" i="2" s="1"/>
  <c r="N36" i="2"/>
  <c r="N41" i="2" s="1"/>
  <c r="D36" i="2"/>
  <c r="D41" i="2" s="1"/>
  <c r="N30" i="2"/>
  <c r="E30" i="2"/>
  <c r="F30" i="2"/>
  <c r="G30" i="2"/>
  <c r="H30" i="2"/>
  <c r="I30" i="2"/>
  <c r="J30" i="2"/>
  <c r="K30" i="2"/>
  <c r="L30" i="2"/>
  <c r="M30" i="2"/>
  <c r="D30" i="2"/>
  <c r="N24" i="2"/>
  <c r="E24" i="2"/>
  <c r="F24" i="2"/>
  <c r="G24" i="2"/>
  <c r="H24" i="2"/>
  <c r="I24" i="2"/>
  <c r="J24" i="2"/>
  <c r="K24" i="2"/>
  <c r="L24" i="2"/>
  <c r="M24" i="2"/>
  <c r="D24" i="2"/>
  <c r="N21" i="2"/>
  <c r="E21" i="2"/>
  <c r="F21" i="2"/>
  <c r="G21" i="2"/>
  <c r="H21" i="2"/>
  <c r="I21" i="2"/>
  <c r="J21" i="2"/>
  <c r="K21" i="2"/>
  <c r="L21" i="2"/>
  <c r="M21" i="2"/>
  <c r="D21" i="2"/>
  <c r="E15" i="2"/>
  <c r="F15" i="2"/>
  <c r="G15" i="2"/>
  <c r="H15" i="2"/>
  <c r="I15" i="2"/>
  <c r="J15" i="2"/>
  <c r="K15" i="2"/>
  <c r="L15" i="2"/>
  <c r="M15" i="2"/>
  <c r="N15" i="2"/>
  <c r="D15" i="2"/>
  <c r="N6" i="2"/>
  <c r="E6" i="2"/>
  <c r="F6" i="2"/>
  <c r="G6" i="2"/>
  <c r="H6" i="2"/>
  <c r="I6" i="2"/>
  <c r="J6" i="2"/>
  <c r="K6" i="2"/>
  <c r="L6" i="2"/>
  <c r="D6" i="2"/>
  <c r="M6" i="2"/>
  <c r="E3" i="2"/>
  <c r="F3" i="2"/>
  <c r="G3" i="2"/>
  <c r="H3" i="2"/>
  <c r="I3" i="2"/>
  <c r="J3" i="2"/>
  <c r="K3" i="2"/>
  <c r="L3" i="2"/>
  <c r="M3" i="2"/>
  <c r="D3" i="2"/>
  <c r="B2" i="2"/>
  <c r="B6" i="4"/>
  <c r="E1" i="4"/>
  <c r="E17" i="7" l="1"/>
  <c r="E16" i="7"/>
  <c r="E18" i="7"/>
  <c r="G17" i="7"/>
  <c r="I17" i="7" s="1"/>
  <c r="J16" i="7"/>
  <c r="K28" i="6"/>
  <c r="K30" i="6"/>
  <c r="N7" i="2"/>
  <c r="K29" i="6"/>
  <c r="K27" i="6"/>
  <c r="N19" i="2"/>
  <c r="K31" i="6"/>
  <c r="K40" i="6"/>
  <c r="K32" i="6"/>
  <c r="J89" i="2"/>
  <c r="I89" i="2"/>
  <c r="G89" i="2"/>
  <c r="H89" i="2"/>
  <c r="K89" i="2"/>
  <c r="M89" i="2"/>
  <c r="F89" i="2"/>
  <c r="L89" i="2"/>
  <c r="E89" i="2"/>
  <c r="I98" i="2"/>
  <c r="E98" i="2"/>
  <c r="D80" i="2"/>
  <c r="D98" i="2" s="1"/>
  <c r="F80" i="2"/>
  <c r="F98" i="2" s="1"/>
  <c r="G80" i="2"/>
  <c r="G98" i="2" s="1"/>
  <c r="H80" i="2"/>
  <c r="H98" i="2" s="1"/>
  <c r="J80" i="2"/>
  <c r="M80" i="2"/>
  <c r="M62" i="2"/>
  <c r="E80" i="2"/>
  <c r="I80" i="2"/>
  <c r="K80" i="2"/>
  <c r="K98" i="2" s="1"/>
  <c r="L80" i="2"/>
  <c r="N62" i="2"/>
  <c r="F57" i="2"/>
  <c r="G57" i="2"/>
  <c r="D62" i="2"/>
  <c r="E57" i="2"/>
  <c r="J62" i="2"/>
  <c r="I57" i="2"/>
  <c r="E62" i="2"/>
  <c r="E64" i="2" s="1"/>
  <c r="E66" i="2" s="1"/>
  <c r="K62" i="2"/>
  <c r="J57" i="2"/>
  <c r="D57" i="2"/>
  <c r="F62" i="2"/>
  <c r="L62" i="2"/>
  <c r="H57" i="2"/>
  <c r="K57" i="2"/>
  <c r="G62" i="2"/>
  <c r="L57" i="2"/>
  <c r="H62" i="2"/>
  <c r="M57" i="2"/>
  <c r="M64" i="2" s="1"/>
  <c r="M66" i="2" s="1"/>
  <c r="I62" i="2"/>
  <c r="E22" i="2"/>
  <c r="N27" i="2"/>
  <c r="N33" i="2" s="1"/>
  <c r="F22" i="2"/>
  <c r="G10" i="2"/>
  <c r="F25" i="2"/>
  <c r="E10" i="2"/>
  <c r="D10" i="2"/>
  <c r="M10" i="2"/>
  <c r="H10" i="2"/>
  <c r="L10" i="2"/>
  <c r="M22" i="2"/>
  <c r="K12" i="2"/>
  <c r="K18" i="2" s="1"/>
  <c r="K27" i="2" s="1"/>
  <c r="K31" i="2" s="1"/>
  <c r="L22" i="2"/>
  <c r="K22" i="2"/>
  <c r="I10" i="2"/>
  <c r="J10" i="2"/>
  <c r="D16" i="2"/>
  <c r="I22" i="2"/>
  <c r="F10" i="2"/>
  <c r="J22" i="2"/>
  <c r="H22" i="2"/>
  <c r="H16" i="2"/>
  <c r="I25" i="2"/>
  <c r="H25" i="2"/>
  <c r="L12" i="2"/>
  <c r="L18" i="2" s="1"/>
  <c r="L27" i="2" s="1"/>
  <c r="K25" i="2"/>
  <c r="N16" i="2"/>
  <c r="D25" i="2"/>
  <c r="L25" i="2"/>
  <c r="J25" i="2"/>
  <c r="I16" i="2"/>
  <c r="N25" i="2"/>
  <c r="N10" i="2"/>
  <c r="M12" i="2"/>
  <c r="M18" i="2" s="1"/>
  <c r="M25" i="2"/>
  <c r="K16" i="2"/>
  <c r="G22" i="2"/>
  <c r="J16" i="2"/>
  <c r="D12" i="2"/>
  <c r="D18" i="2" s="1"/>
  <c r="D27" i="2" s="1"/>
  <c r="G16" i="2"/>
  <c r="F16" i="2"/>
  <c r="J12" i="2"/>
  <c r="J18" i="2" s="1"/>
  <c r="J27" i="2" s="1"/>
  <c r="E16" i="2"/>
  <c r="H12" i="2"/>
  <c r="H18" i="2" s="1"/>
  <c r="H27" i="2" s="1"/>
  <c r="G12" i="2"/>
  <c r="G18" i="2" s="1"/>
  <c r="G27" i="2" s="1"/>
  <c r="M16" i="2"/>
  <c r="G25" i="2"/>
  <c r="I12" i="2"/>
  <c r="I18" i="2" s="1"/>
  <c r="I27" i="2" s="1"/>
  <c r="K10" i="2"/>
  <c r="F12" i="2"/>
  <c r="F18" i="2" s="1"/>
  <c r="F27" i="2" s="1"/>
  <c r="L16" i="2"/>
  <c r="E12" i="2"/>
  <c r="E18" i="2" s="1"/>
  <c r="E27" i="2" s="1"/>
  <c r="N12" i="2"/>
  <c r="N13" i="2" s="1"/>
  <c r="E25" i="2"/>
  <c r="N22" i="2"/>
  <c r="G18" i="7" l="1"/>
  <c r="I18" i="7" s="1"/>
  <c r="J17" i="7"/>
  <c r="K38" i="6"/>
  <c r="P32" i="6"/>
  <c r="O32" i="6"/>
  <c r="P31" i="6"/>
  <c r="O31" i="6"/>
  <c r="K37" i="6"/>
  <c r="P29" i="6"/>
  <c r="O29" i="6"/>
  <c r="K36" i="6"/>
  <c r="P28" i="6"/>
  <c r="O28" i="6"/>
  <c r="O40" i="6"/>
  <c r="P40" i="6"/>
  <c r="K35" i="6"/>
  <c r="O27" i="6"/>
  <c r="P27" i="6"/>
  <c r="O30" i="6"/>
  <c r="P30" i="6"/>
  <c r="J98" i="2"/>
  <c r="I64" i="2"/>
  <c r="I66" i="2" s="1"/>
  <c r="L98" i="2"/>
  <c r="J64" i="2"/>
  <c r="J66" i="2" s="1"/>
  <c r="M98" i="2"/>
  <c r="F64" i="2"/>
  <c r="F66" i="2" s="1"/>
  <c r="K64" i="2"/>
  <c r="K66" i="2" s="1"/>
  <c r="D64" i="2"/>
  <c r="D66" i="2" s="1"/>
  <c r="G64" i="2"/>
  <c r="G66" i="2" s="1"/>
  <c r="H64" i="2"/>
  <c r="H66" i="2" s="1"/>
  <c r="L64" i="2"/>
  <c r="L66" i="2" s="1"/>
  <c r="N28" i="2"/>
  <c r="N31" i="2"/>
  <c r="K28" i="2"/>
  <c r="K33" i="2"/>
  <c r="K34" i="2" s="1"/>
  <c r="M27" i="2"/>
  <c r="F28" i="2"/>
  <c r="F31" i="2"/>
  <c r="F33" i="2"/>
  <c r="I33" i="2"/>
  <c r="I28" i="2"/>
  <c r="I31" i="2"/>
  <c r="G31" i="2"/>
  <c r="G28" i="2"/>
  <c r="G33" i="2"/>
  <c r="J33" i="2"/>
  <c r="J31" i="2"/>
  <c r="J28" i="2"/>
  <c r="E33" i="2"/>
  <c r="E28" i="2"/>
  <c r="E31" i="2"/>
  <c r="L33" i="2"/>
  <c r="L28" i="2"/>
  <c r="L31" i="2"/>
  <c r="N38" i="2"/>
  <c r="N34" i="2"/>
  <c r="D28" i="2"/>
  <c r="D33" i="2"/>
  <c r="H28" i="2"/>
  <c r="H31" i="2"/>
  <c r="H33" i="2"/>
  <c r="D31" i="2"/>
  <c r="G19" i="7" l="1"/>
  <c r="I19" i="7" s="1"/>
  <c r="J19" i="7" s="1"/>
  <c r="P35" i="6"/>
  <c r="O35" i="6"/>
  <c r="O36" i="6"/>
  <c r="P36" i="6"/>
  <c r="O37" i="6"/>
  <c r="P37" i="6"/>
  <c r="O38" i="6"/>
  <c r="P38" i="6"/>
  <c r="K38" i="2"/>
  <c r="K42" i="2"/>
  <c r="K44" i="2" s="1"/>
  <c r="N42" i="2"/>
  <c r="N44" i="2"/>
  <c r="F38" i="2"/>
  <c r="F34" i="2"/>
  <c r="E34" i="2"/>
  <c r="E38" i="2"/>
  <c r="H38" i="2"/>
  <c r="H34" i="2"/>
  <c r="G34" i="2"/>
  <c r="G38" i="2"/>
  <c r="I38" i="2"/>
  <c r="I34" i="2"/>
  <c r="J38" i="2"/>
  <c r="J34" i="2"/>
  <c r="D38" i="2"/>
  <c r="D34" i="2"/>
  <c r="L34" i="2"/>
  <c r="L38" i="2"/>
  <c r="M33" i="2"/>
  <c r="M28" i="2"/>
  <c r="M31" i="2"/>
  <c r="J18" i="7" l="1"/>
  <c r="J39" i="2"/>
  <c r="J42" i="2"/>
  <c r="J44" i="2"/>
  <c r="H42" i="2"/>
  <c r="H44" i="2" s="1"/>
  <c r="G39" i="2"/>
  <c r="G42" i="2"/>
  <c r="G44" i="2" s="1"/>
  <c r="E42" i="2"/>
  <c r="E44" i="2" s="1"/>
  <c r="F42" i="2"/>
  <c r="F44" i="2" s="1"/>
  <c r="L39" i="2"/>
  <c r="L42" i="2"/>
  <c r="L44" i="2" s="1"/>
  <c r="I39" i="2"/>
  <c r="I42" i="2"/>
  <c r="I44" i="2" s="1"/>
  <c r="E39" i="2"/>
  <c r="D42" i="2"/>
  <c r="D44" i="2" s="1"/>
  <c r="F39" i="2"/>
  <c r="H39" i="2"/>
  <c r="K39" i="2"/>
  <c r="M34" i="2"/>
  <c r="M38" i="2"/>
  <c r="M42" i="2" l="1"/>
  <c r="M44" i="2" s="1"/>
  <c r="M39" i="2"/>
  <c r="N3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<sst xmlns="http://schemas.openxmlformats.org/spreadsheetml/2006/main" count="231" uniqueCount="170">
  <si>
    <t>DA</t>
  </si>
  <si>
    <t>COMPANY NAME</t>
  </si>
  <si>
    <t>HONDA INDIA POWER PRODUCTS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</si>
  <si>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</si>
  <si>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</si>
  <si>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</si>
  <si>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</si>
  <si>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</si>
  <si>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</si>
  <si>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</si>
  <si>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</si>
  <si>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</si>
  <si>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</si>
  <si>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</si>
  <si>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</si>
  <si>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</si>
  <si>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</si>
  <si>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</si>
  <si>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</si>
  <si>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</si>
  <si>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</si>
  <si>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</si>
  <si>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</si>
  <si>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</si>
  <si>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</si>
  <si>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</si>
  <si>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</si>
  <si>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</si>
  <si>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</si>
  <si>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</si>
  <si>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</si>
  <si>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</si>
  <si>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</si>
  <si>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</si>
  <si>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</si>
  <si>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</si>
  <si>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</si>
  <si>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</si>
  <si>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</si>
  <si>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</si>
  <si>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</si>
  <si>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</si>
  <si>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</si>
  <si>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</si>
  <si>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</si>
  <si>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</si>
  <si>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</si>
  <si>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</si>
  <si>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</si>
  <si>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</si>
  <si>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</si>
  <si>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</si>
  <si>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</si>
  <si>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</si>
  <si>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</si>
  <si>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Years</t>
  </si>
  <si>
    <t>LTM</t>
  </si>
  <si>
    <t>#</t>
  </si>
  <si>
    <t>Income Statement</t>
  </si>
  <si>
    <t>Sales Growth</t>
  </si>
  <si>
    <t>COGS</t>
  </si>
  <si>
    <t>cogs% sales</t>
  </si>
  <si>
    <t xml:space="preserve"> </t>
  </si>
  <si>
    <t>S&amp;G Expenses</t>
  </si>
  <si>
    <t>S&amp;G Expenses% sales</t>
  </si>
  <si>
    <t>EBITDA</t>
  </si>
  <si>
    <t>EBITDA margin</t>
  </si>
  <si>
    <t>Interest margin</t>
  </si>
  <si>
    <t>Depriciation</t>
  </si>
  <si>
    <t>Depriciation % sales</t>
  </si>
  <si>
    <t>EBT</t>
  </si>
  <si>
    <t>EBT%sales</t>
  </si>
  <si>
    <t>effective tax rate</t>
  </si>
  <si>
    <t xml:space="preserve">  </t>
  </si>
  <si>
    <t>Net Profit</t>
  </si>
  <si>
    <t>net margin</t>
  </si>
  <si>
    <t>no. of equity shares</t>
  </si>
  <si>
    <t>EPS</t>
  </si>
  <si>
    <t>Dividend per share</t>
  </si>
  <si>
    <t>EPS growth%</t>
  </si>
  <si>
    <t>Dividned Payout ratio</t>
  </si>
  <si>
    <t>retained earning</t>
  </si>
  <si>
    <t>Balance Sheet</t>
  </si>
  <si>
    <t>Total Liabilities</t>
  </si>
  <si>
    <t>total current Assets</t>
  </si>
  <si>
    <t>total assets</t>
  </si>
  <si>
    <t>Total non current assets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</si>
  <si>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</si>
  <si>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</si>
  <si>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</si>
  <si>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</si>
  <si>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</si>
  <si>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</si>
  <si>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</si>
  <si>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Other operating items</t>
  </si>
  <si>
    <t>Fixed assets purchased</t>
  </si>
  <si>
    <t>Fixed assets sold</t>
  </si>
  <si>
    <t>Interest received</t>
  </si>
  <si>
    <t>Redemp n Canc of Shares</t>
  </si>
  <si>
    <t>Acquisition of companies</t>
  </si>
  <si>
    <t>Other investing items</t>
  </si>
  <si>
    <t>Interest paid fin</t>
  </si>
  <si>
    <t>Dividends paid</t>
  </si>
  <si>
    <t>Financial liabilities</t>
  </si>
  <si>
    <t>Other financing items</t>
  </si>
  <si>
    <r>
      <t>Cash from Operating Activity </t>
    </r>
    <r>
      <rPr>
        <sz val="11"/>
        <color rgb="FF665EFD"/>
        <rFont val="Arial"/>
        <family val="2"/>
      </rPr>
      <t>-</t>
    </r>
  </si>
  <si>
    <r>
      <t>Cash from Investing Activity </t>
    </r>
    <r>
      <rPr>
        <sz val="11"/>
        <color rgb="FF665EFD"/>
        <rFont val="Arial"/>
        <family val="2"/>
      </rPr>
      <t>-</t>
    </r>
  </si>
  <si>
    <r>
      <t>Cash from Financing Activity </t>
    </r>
    <r>
      <rPr>
        <sz val="11"/>
        <color rgb="FF665EFD"/>
        <rFont val="Arial"/>
        <family val="2"/>
      </rPr>
      <t>-</t>
    </r>
  </si>
  <si>
    <t>Cash flow statement</t>
  </si>
  <si>
    <t>Operating Activities</t>
  </si>
  <si>
    <t>Investing Activities</t>
  </si>
  <si>
    <t>Financing Activities</t>
  </si>
  <si>
    <t>cash from operating activities</t>
  </si>
  <si>
    <t>cash from Investing Activities</t>
  </si>
  <si>
    <t>cash from financing activities</t>
  </si>
  <si>
    <t>Net cash flow</t>
  </si>
  <si>
    <t xml:space="preserve">directly take the cash flow stmtnt from the data sheet </t>
  </si>
  <si>
    <t>Gross profit</t>
  </si>
  <si>
    <t>gross margin</t>
  </si>
  <si>
    <t>SalesGrowth</t>
  </si>
  <si>
    <t>EBITDA Growth</t>
  </si>
  <si>
    <t>EBIT Growth</t>
  </si>
  <si>
    <t>Net Profit Growth</t>
  </si>
  <si>
    <t>Dividend Growth</t>
  </si>
  <si>
    <t>Gross Margin</t>
  </si>
  <si>
    <t>EBIT Margin</t>
  </si>
  <si>
    <t>EBT Margin</t>
  </si>
  <si>
    <t>Net Profit  Margin</t>
  </si>
  <si>
    <t>Sales Expenses%sales</t>
  </si>
  <si>
    <t>Deprication%sales</t>
  </si>
  <si>
    <t>OperatingIncome%sales</t>
  </si>
  <si>
    <t>ROCE</t>
  </si>
  <si>
    <t>Reatined Earning %</t>
  </si>
  <si>
    <t>ROE%</t>
  </si>
  <si>
    <t>Self Sustained Growth Rate</t>
  </si>
  <si>
    <t>Interestr Coverage Ratio</t>
  </si>
  <si>
    <t>Debtor turnover Ratio</t>
  </si>
  <si>
    <t>Creditor turnover Ratio</t>
  </si>
  <si>
    <t>Inventory turnover</t>
  </si>
  <si>
    <t>Cash conversion Turnover</t>
  </si>
  <si>
    <t>CFO/Sales</t>
  </si>
  <si>
    <t>CFO/Total asset</t>
  </si>
  <si>
    <t>CFO/Total debt</t>
  </si>
  <si>
    <t>-</t>
  </si>
  <si>
    <t>ebit margin is sasme as operating margin</t>
  </si>
  <si>
    <t>operating income % sales is same as EBUIT margin</t>
  </si>
  <si>
    <t>Fixed assset turnover</t>
  </si>
  <si>
    <t>capital turnover</t>
  </si>
  <si>
    <t>debtor days</t>
  </si>
  <si>
    <t>payable days</t>
  </si>
  <si>
    <t>inventory days</t>
  </si>
  <si>
    <t>cash conversion days</t>
  </si>
  <si>
    <t>(in days)</t>
  </si>
  <si>
    <t>mean</t>
  </si>
  <si>
    <t>Median</t>
  </si>
  <si>
    <t>Trends</t>
  </si>
  <si>
    <t>year weigth</t>
  </si>
  <si>
    <t>year</t>
  </si>
  <si>
    <t>sales</t>
  </si>
  <si>
    <t>sales growth</t>
  </si>
  <si>
    <t>EBITDA growth</t>
  </si>
  <si>
    <t>Open</t>
  </si>
  <si>
    <t>High</t>
  </si>
  <si>
    <t>Low</t>
  </si>
  <si>
    <t>Close</t>
  </si>
  <si>
    <t>Adj Close</t>
  </si>
  <si>
    <t>Volume</t>
  </si>
  <si>
    <t>Dividends</t>
  </si>
  <si>
    <t>Stock Splits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</si>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</sst>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[$-409]mmm\-yy;@"/>
    <numFmt numFmtId="165" formatCode="_(* #,##0.00_);_(* \(#,##0.00\);_(* &quot;-&quot;??_);_(@_)"/>
    <numFmt numFmtId="166" formatCode="&quot;₹&quot;\ #,##0.0;\(&quot;₹&quot;\ #,##0.0\)"/>
    <numFmt numFmtId="167" formatCode="&quot;₹&quot;\ #,##0.00"/>
    <numFmt numFmtId="168" formatCode="0.00&quot;x&quot;"/>
    <numFmt numFmtId="169" formatCode="General\A"/>
  </numFmts>
  <fonts count="17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 tint="0.499984740745262"/>
      <name val="Calibri"/>
      <family val="2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sz val="11"/>
      <color rgb="FF665EFD"/>
      <name val="Arial"/>
      <family val="2"/>
    </font>
    <font>
      <sz val="11"/>
      <color rgb="FF22222F"/>
      <name val="Arial"/>
      <family val="2"/>
    </font>
    <font>
      <b/>
      <sz val="11"/>
      <color rgb="FF22222F"/>
      <name val="Arial"/>
      <family val="2"/>
    </font>
    <font>
      <b/>
      <i/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DBE4F0"/>
      </bottom>
      <diagonal/>
    </border>
    <border>
      <left/>
      <right/>
      <top style="medium">
        <color rgb="FFDBE4F0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rgb="FF002060"/>
      </top>
      <bottom/>
      <diagonal/>
    </border>
    <border>
      <left/>
      <right/>
      <top/>
      <bottom style="dotted">
        <color rgb="FF00206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77">
    <xf numFmtId="0" fontId="0" fillId="0" borderId="0" xfId="0"/>
    <xf numFmtId="43" fontId="7" fillId="0" borderId="0" xfId="1" applyFont="1" applyBorder="1"/>
    <xf numFmtId="43" fontId="0" fillId="0" borderId="0" xfId="1" applyFont="1" applyBorder="1"/>
    <xf numFmtId="164" fontId="8" fillId="3" borderId="0" xfId="1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9" fillId="0" borderId="0" xfId="1" applyNumberFormat="1" applyFont="1" applyFill="1" applyBorder="1"/>
    <xf numFmtId="43" fontId="6" fillId="0" borderId="0" xfId="1" applyFont="1" applyBorder="1"/>
    <xf numFmtId="165" fontId="0" fillId="0" borderId="0" xfId="1" applyNumberFormat="1" applyFont="1" applyBorder="1"/>
    <xf numFmtId="17" fontId="0" fillId="0" borderId="0" xfId="0" applyNumberFormat="1"/>
    <xf numFmtId="0" fontId="2" fillId="4" borderId="0" xfId="0" applyFont="1" applyFill="1"/>
    <xf numFmtId="17" fontId="2" fillId="4" borderId="0" xfId="0" applyNumberFormat="1" applyFont="1" applyFill="1"/>
    <xf numFmtId="17" fontId="2" fillId="4" borderId="0" xfId="0" applyNumberFormat="1" applyFont="1" applyFill="1" applyAlignment="1">
      <alignment horizontal="right"/>
    </xf>
    <xf numFmtId="0" fontId="0" fillId="4" borderId="0" xfId="0" applyFill="1"/>
    <xf numFmtId="166" fontId="0" fillId="0" borderId="0" xfId="0" applyNumberFormat="1"/>
    <xf numFmtId="10" fontId="0" fillId="0" borderId="0" xfId="2" applyNumberFormat="1" applyFont="1"/>
    <xf numFmtId="0" fontId="10" fillId="0" borderId="0" xfId="0" applyFont="1"/>
    <xf numFmtId="10" fontId="10" fillId="0" borderId="0" xfId="2" applyNumberFormat="1" applyFont="1"/>
    <xf numFmtId="167" fontId="0" fillId="0" borderId="0" xfId="0" applyNumberFormat="1"/>
    <xf numFmtId="0" fontId="0" fillId="5" borderId="0" xfId="0" applyFill="1"/>
    <xf numFmtId="0" fontId="2" fillId="5" borderId="0" xfId="0" applyFont="1" applyFill="1"/>
    <xf numFmtId="17" fontId="2" fillId="5" borderId="0" xfId="0" applyNumberFormat="1" applyFont="1" applyFill="1"/>
    <xf numFmtId="17" fontId="0" fillId="5" borderId="0" xfId="0" applyNumberFormat="1" applyFill="1"/>
    <xf numFmtId="0" fontId="0" fillId="6" borderId="0" xfId="0" applyFill="1"/>
    <xf numFmtId="0" fontId="0" fillId="7" borderId="0" xfId="0" applyFill="1"/>
    <xf numFmtId="0" fontId="3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7" fontId="11" fillId="8" borderId="1" xfId="0" applyNumberFormat="1" applyFont="1" applyFill="1" applyBorder="1" applyAlignment="1">
      <alignment horizontal="right" vertical="center" wrapText="1"/>
    </xf>
    <xf numFmtId="0" fontId="12" fillId="9" borderId="2" xfId="0" applyFont="1" applyFill="1" applyBorder="1" applyAlignment="1">
      <alignment horizontal="left" vertical="center" indent="2"/>
    </xf>
    <xf numFmtId="0" fontId="12" fillId="9" borderId="2" xfId="0" applyFont="1" applyFill="1" applyBorder="1" applyAlignment="1">
      <alignment horizontal="right" vertical="center" wrapText="1"/>
    </xf>
    <xf numFmtId="0" fontId="12" fillId="9" borderId="2" xfId="0" applyFont="1" applyFill="1" applyBorder="1" applyAlignment="1">
      <alignment horizontal="left" vertical="center"/>
    </xf>
    <xf numFmtId="0" fontId="14" fillId="9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right" vertical="center" wrapText="1"/>
    </xf>
    <xf numFmtId="0" fontId="12" fillId="8" borderId="2" xfId="0" applyFont="1" applyFill="1" applyBorder="1" applyAlignment="1">
      <alignment horizontal="left" vertical="center" indent="2"/>
    </xf>
    <xf numFmtId="0" fontId="12" fillId="8" borderId="2" xfId="0" applyFont="1" applyFill="1" applyBorder="1" applyAlignment="1">
      <alignment horizontal="right" vertical="center" wrapText="1"/>
    </xf>
    <xf numFmtId="0" fontId="14" fillId="8" borderId="0" xfId="0" applyFont="1" applyFill="1" applyAlignment="1">
      <alignment horizontal="left" vertical="center"/>
    </xf>
    <xf numFmtId="0" fontId="14" fillId="8" borderId="0" xfId="0" applyFont="1" applyFill="1" applyAlignment="1">
      <alignment horizontal="right" vertical="center" wrapText="1"/>
    </xf>
    <xf numFmtId="17" fontId="11" fillId="10" borderId="1" xfId="0" applyNumberFormat="1" applyFont="1" applyFill="1" applyBorder="1" applyAlignment="1">
      <alignment horizontal="right" vertical="center" wrapText="1"/>
    </xf>
    <xf numFmtId="0" fontId="12" fillId="10" borderId="2" xfId="0" applyFont="1" applyFill="1" applyBorder="1" applyAlignment="1">
      <alignment horizontal="right" vertical="center" wrapText="1"/>
    </xf>
    <xf numFmtId="0" fontId="14" fillId="10" borderId="0" xfId="0" applyFont="1" applyFill="1" applyAlignment="1">
      <alignment horizontal="right" vertical="center" wrapText="1"/>
    </xf>
    <xf numFmtId="0" fontId="0" fillId="10" borderId="0" xfId="0" applyFill="1"/>
    <xf numFmtId="0" fontId="14" fillId="9" borderId="2" xfId="0" applyFont="1" applyFill="1" applyBorder="1" applyAlignment="1">
      <alignment horizontal="left" vertical="center"/>
    </xf>
    <xf numFmtId="0" fontId="14" fillId="9" borderId="2" xfId="0" applyFont="1" applyFill="1" applyBorder="1" applyAlignment="1">
      <alignment horizontal="right" vertical="center" wrapText="1"/>
    </xf>
    <xf numFmtId="0" fontId="14" fillId="10" borderId="2" xfId="0" applyFont="1" applyFill="1" applyBorder="1" applyAlignment="1">
      <alignment horizontal="right" vertical="center" wrapText="1"/>
    </xf>
    <xf numFmtId="0" fontId="12" fillId="11" borderId="2" xfId="0" applyFont="1" applyFill="1" applyBorder="1" applyAlignment="1">
      <alignment horizontal="left" vertical="center" indent="2"/>
    </xf>
    <xf numFmtId="0" fontId="12" fillId="11" borderId="2" xfId="0" applyFont="1" applyFill="1" applyBorder="1" applyAlignment="1">
      <alignment horizontal="right" vertical="center" wrapText="1"/>
    </xf>
    <xf numFmtId="0" fontId="0" fillId="11" borderId="0" xfId="0" applyFill="1"/>
    <xf numFmtId="0" fontId="3" fillId="12" borderId="0" xfId="0" applyFont="1" applyFill="1"/>
    <xf numFmtId="0" fontId="0" fillId="12" borderId="0" xfId="0" applyFill="1"/>
    <xf numFmtId="166" fontId="0" fillId="12" borderId="0" xfId="0" applyNumberFormat="1" applyFill="1"/>
    <xf numFmtId="0" fontId="14" fillId="12" borderId="0" xfId="0" applyFont="1" applyFill="1" applyAlignment="1">
      <alignment horizontal="left" vertical="center"/>
    </xf>
    <xf numFmtId="0" fontId="15" fillId="12" borderId="0" xfId="0" applyFont="1" applyFill="1" applyAlignment="1">
      <alignment horizontal="left" vertical="center"/>
    </xf>
    <xf numFmtId="166" fontId="3" fillId="12" borderId="0" xfId="0" applyNumberFormat="1" applyFont="1" applyFill="1"/>
    <xf numFmtId="0" fontId="3" fillId="0" borderId="3" xfId="0" applyFont="1" applyBorder="1"/>
    <xf numFmtId="167" fontId="3" fillId="0" borderId="3" xfId="0" applyNumberFormat="1" applyFont="1" applyBorder="1"/>
    <xf numFmtId="168" fontId="0" fillId="0" borderId="0" xfId="2" applyNumberFormat="1" applyFont="1"/>
    <xf numFmtId="0" fontId="16" fillId="0" borderId="0" xfId="0" applyFont="1"/>
    <xf numFmtId="0" fontId="0" fillId="0" borderId="4" xfId="0" applyBorder="1"/>
    <xf numFmtId="10" fontId="0" fillId="0" borderId="4" xfId="2" applyNumberFormat="1" applyFont="1" applyBorder="1"/>
    <xf numFmtId="10" fontId="0" fillId="0" borderId="0" xfId="2" applyNumberFormat="1" applyFont="1" applyBorder="1"/>
    <xf numFmtId="0" fontId="0" fillId="0" borderId="5" xfId="0" applyBorder="1"/>
    <xf numFmtId="10" fontId="0" fillId="0" borderId="5" xfId="2" applyNumberFormat="1" applyFont="1" applyBorder="1"/>
    <xf numFmtId="1" fontId="0" fillId="0" borderId="4" xfId="0" applyNumberFormat="1" applyBorder="1"/>
    <xf numFmtId="1" fontId="0" fillId="0" borderId="0" xfId="0" applyNumberFormat="1"/>
    <xf numFmtId="1" fontId="0" fillId="0" borderId="5" xfId="0" applyNumberFormat="1" applyBorder="1"/>
    <xf numFmtId="168" fontId="0" fillId="0" borderId="4" xfId="2" applyNumberFormat="1" applyFont="1" applyBorder="1"/>
    <xf numFmtId="168" fontId="0" fillId="0" borderId="0" xfId="2" applyNumberFormat="1" applyFont="1" applyBorder="1"/>
    <xf numFmtId="168" fontId="0" fillId="0" borderId="5" xfId="2" applyNumberFormat="1" applyFont="1" applyBorder="1"/>
    <xf numFmtId="10" fontId="0" fillId="0" borderId="4" xfId="0" applyNumberFormat="1" applyBorder="1"/>
    <xf numFmtId="10" fontId="0" fillId="0" borderId="0" xfId="0" applyNumberFormat="1"/>
    <xf numFmtId="10" fontId="0" fillId="0" borderId="5" xfId="0" applyNumberFormat="1" applyBorder="1"/>
    <xf numFmtId="169" fontId="0" fillId="0" borderId="0" xfId="0" applyNumberFormat="1"/>
    <xf numFmtId="39" fontId="0" fillId="0" borderId="0" xfId="0" applyNumberFormat="1"/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43" fontId="5" fillId="0" borderId="0" xfId="4" applyNumberFormat="1" applyBorder="1" applyAlignment="1" applyProtection="1">
      <alignment horizontal="center"/>
    </xf>
    <xf numFmtId="43" fontId="8" fillId="2" borderId="0" xfId="3" applyNumberFormat="1" applyFont="1" applyBorder="1" applyAlignment="1">
      <alignment horizontal="center"/>
    </xf>
  </cellXfs>
  <cellStyles count="5">
    <cellStyle name="Accent6" xfId="3" builtinId="49"/>
    <cellStyle name="Comma" xfId="1" builtinId="3"/>
    <cellStyle name="Hyperlink" xfId="4" builtinId="8"/>
    <cellStyle name="Normal" xfId="0" builtinId="0"/>
    <cellStyle name="Percent" xfId="2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Pictures/FIN/Honda%20India.xlsx" TargetMode="External"/><Relationship Id="rId2" Type="http://schemas.openxmlformats.org/officeDocument/2006/relationships/externalLinkPath" Target="https://d.docs.live.net/5f9b5bc87078c4b3/Pictures/FIN/Honda%20India.xlsx" TargetMode="External"/><Relationship Id="rId1" Type="http://schemas.openxmlformats.org/officeDocument/2006/relationships/externalLinkPath" Target="/5f9b5bc87078c4b3/Pictures/FIN/Honda%20Ind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fit &amp; Loss"/>
      <sheetName val="Quarters"/>
      <sheetName val="Balance Sheet"/>
      <sheetName val="Cash Flow"/>
      <sheetName val="Customization"/>
      <sheetName val="Data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42">
          <cell r="H42">
            <v>204.18</v>
          </cell>
          <cell r="I42">
            <v>268.68</v>
          </cell>
          <cell r="J42">
            <v>154.91</v>
          </cell>
          <cell r="K42">
            <v>175.61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0EC1F-4B79-4B30-9FF6-5C017C34DFA9}">
  <dimension ref="B2"/>
  <sheetViews>
    <sheetView workbookViewId="0">
      <selection activeCell="B2" sqref="B2"/>
    </sheetView>
  </sheetViews>
  <sheetFormatPr defaultRowHeight="15" x14ac:dyDescent="0.25"/>
  <cols>
    <col min="1" max="1" width="1.85546875" customWidth="1"/>
  </cols>
  <sheetData>
    <row r="2" spans="2:2" x14ac:dyDescent="0.25">
      <c r="B2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6388C-49C3-4F38-9888-65F17F6F89DB}">
  <dimension ref="A1:XFC108"/>
  <sheetViews>
    <sheetView showGridLines="0" zoomScale="76" zoomScaleNormal="62" workbookViewId="0">
      <pane xSplit="3" ySplit="3" topLeftCell="D8" activePane="bottomRight" state="frozen"/>
      <selection pane="topRight" activeCell="D1" sqref="D1"/>
      <selection pane="bottomLeft" activeCell="A4" sqref="A4"/>
      <selection pane="bottomRight" activeCell="U76" sqref="U76"/>
    </sheetView>
  </sheetViews>
  <sheetFormatPr defaultRowHeight="15" x14ac:dyDescent="0.25"/>
  <cols>
    <col min="1" max="1" width="1.85546875" customWidth="1"/>
    <col min="2" max="2" width="22.7109375" bestFit="1" customWidth="1"/>
    <col min="3" max="3" width="9.7109375" bestFit="1" customWidth="1"/>
    <col min="4" max="14" width="17.28515625" customWidth="1"/>
  </cols>
  <sheetData>
    <row r="1" spans="1:1017 1028:2044 2055:3071 3082:5112 5123:6139 6150:7166 7177:9207 9218:10234 10245:11261 11272:12288 12299:13302 13313:14329 14340:15356 15367:16383" x14ac:dyDescent="0.25">
      <c r="E1" t="s">
        <v>169</v>
      </c>
    </row>
    <row r="2" spans="1:1017 1028:2044 2055:3071 3082:5112 5123:6139 6150:7166 7177:9207 9218:10234 10245:11261 11272:12288 12299:13302 13313:14329 14340:15356 15367:16383" x14ac:dyDescent="0.25">
      <c r="B2" s="73" t="str">
        <f>"Historical financial Statement  - "&amp;'Data Sheet'!B1</f>
        <v>Historical financial Statement  - HONDA INDIA POWER PRODUCTS LTD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</row>
    <row r="3" spans="1:1017 1028:2044 2055:3071 3082:5112 5123:6139 6150:7166 7177:9207 9218:10234 10245:11261 11272:12288 12299:13302 13313:14329 14340:15356 15367:16383" x14ac:dyDescent="0.25">
      <c r="B3" s="9" t="s">
        <v>55</v>
      </c>
      <c r="C3" s="12"/>
      <c r="D3" s="10">
        <f>'Data Sheet'!B16</f>
        <v>42460</v>
      </c>
      <c r="E3" s="10">
        <f>'Data Sheet'!C16</f>
        <v>42825</v>
      </c>
      <c r="F3" s="10">
        <f>'Data Sheet'!D16</f>
        <v>43190</v>
      </c>
      <c r="G3" s="10">
        <f>'Data Sheet'!E16</f>
        <v>43555</v>
      </c>
      <c r="H3" s="10">
        <f>'Data Sheet'!F16</f>
        <v>43921</v>
      </c>
      <c r="I3" s="10">
        <f>'Data Sheet'!G16</f>
        <v>44286</v>
      </c>
      <c r="J3" s="10">
        <f>'Data Sheet'!H16</f>
        <v>44651</v>
      </c>
      <c r="K3" s="10">
        <f>'Data Sheet'!I16</f>
        <v>45016</v>
      </c>
      <c r="L3" s="10">
        <f>'Data Sheet'!J16</f>
        <v>45382</v>
      </c>
      <c r="M3" s="10">
        <f>'Data Sheet'!K16</f>
        <v>45747</v>
      </c>
      <c r="N3" s="11" t="s">
        <v>56</v>
      </c>
      <c r="O3" s="8"/>
      <c r="P3" s="8"/>
    </row>
    <row r="4" spans="1:1017 1028:2044 2055:3071 3082:5112 5123:6139 6150:7166 7177:9207 9218:10234 10245:11261 11272:12288 12299:13302 13313:14329 14340:15356 15367:16383" s="18" customFormat="1" x14ac:dyDescent="0.25">
      <c r="B4" s="19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1"/>
      <c r="P4" s="21"/>
    </row>
    <row r="5" spans="1:1017 1028:2044 2055:3071 3082:5112 5123:6139 6150:7166 7177:9207 9218:10234 10245:11261 11272:12288 12299:13302 13313:14329 14340:15356 15367:16383" x14ac:dyDescent="0.25">
      <c r="A5" t="s">
        <v>57</v>
      </c>
      <c r="B5" s="22" t="s">
        <v>58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</row>
    <row r="6" spans="1:1017 1028:2044 2055:3071 3082:5112 5123:6139 6150:7166 7177:9207 9218:10234 10245:11261 11272:12288 12299:13302 13313:14329 14340:15356 15367:16383" x14ac:dyDescent="0.25">
      <c r="B6" t="s">
        <v>13</v>
      </c>
      <c r="D6" s="13">
        <f>IFERROR('Data Sheet'!B17,0)</f>
        <v>672.81</v>
      </c>
      <c r="E6" s="13">
        <f>IFERROR('Data Sheet'!C17,0)</f>
        <v>701.78</v>
      </c>
      <c r="F6" s="13">
        <f>IFERROR('Data Sheet'!D17,0)</f>
        <v>767.8</v>
      </c>
      <c r="G6" s="13">
        <f>IFERROR('Data Sheet'!E17,0)</f>
        <v>815.88</v>
      </c>
      <c r="H6" s="13">
        <f>IFERROR('Data Sheet'!F17,0)</f>
        <v>848.64</v>
      </c>
      <c r="I6" s="13">
        <f>IFERROR('Data Sheet'!G17,0)</f>
        <v>938.94</v>
      </c>
      <c r="J6" s="13">
        <f>IFERROR('Data Sheet'!H17,0)</f>
        <v>1156.29</v>
      </c>
      <c r="K6" s="13">
        <f>IFERROR('Data Sheet'!I17,0)</f>
        <v>1246.29</v>
      </c>
      <c r="L6" s="13">
        <f>IFERROR('Data Sheet'!J17,0)</f>
        <v>989.07</v>
      </c>
      <c r="M6" s="13">
        <f>'Data Sheet'!K17</f>
        <v>794.23</v>
      </c>
      <c r="N6" s="13">
        <f>IFERROR(SUM('[1]Data Sheet'!$H$42:$K$42),0)</f>
        <v>803.38</v>
      </c>
    </row>
    <row r="7" spans="1:1017 1028:2044 2055:3071 3082:5112 5123:6139 6150:7166 7177:9207 9218:10234 10245:11261 11272:12288 12299:13302 13313:14329 14340:15356 15367:16383" s="15" customFormat="1" x14ac:dyDescent="0.25">
      <c r="B7" s="15" t="s">
        <v>59</v>
      </c>
      <c r="D7" s="15" t="s">
        <v>143</v>
      </c>
      <c r="E7" s="16">
        <f>IFERROR(E6/D6-1,0)</f>
        <v>4.3058218516371705E-2</v>
      </c>
      <c r="F7" s="16">
        <f t="shared" ref="F7:N7" si="0">IFERROR(F6/E6-1,0)</f>
        <v>9.4075066260081552E-2</v>
      </c>
      <c r="G7" s="16">
        <f t="shared" si="0"/>
        <v>6.2620474081792166E-2</v>
      </c>
      <c r="H7" s="16">
        <f t="shared" si="0"/>
        <v>4.0152963671128195E-2</v>
      </c>
      <c r="I7" s="16">
        <f t="shared" si="0"/>
        <v>0.10640554298642546</v>
      </c>
      <c r="J7" s="16">
        <f t="shared" si="0"/>
        <v>0.23148443990031309</v>
      </c>
      <c r="K7" s="16">
        <f t="shared" si="0"/>
        <v>7.7835145162545638E-2</v>
      </c>
      <c r="L7" s="16">
        <f t="shared" si="0"/>
        <v>-0.20638856124978933</v>
      </c>
      <c r="M7" s="16">
        <f t="shared" si="0"/>
        <v>-0.19699313496516935</v>
      </c>
      <c r="N7" s="16">
        <f t="shared" si="0"/>
        <v>1.1520592271760055E-2</v>
      </c>
    </row>
    <row r="8" spans="1:1017 1028:2044 2055:3071 3082:5112 5123:6139 6150:7166 7177:9207 9218:10234 10245:11261 11272:12288 12299:13302 13313:14329 14340:15356 15367:16383" s="15" customFormat="1" x14ac:dyDescent="0.25">
      <c r="E8" s="16"/>
      <c r="F8" s="16"/>
      <c r="G8" s="16"/>
      <c r="H8" s="16"/>
      <c r="I8" s="16"/>
      <c r="J8" s="16"/>
      <c r="K8" s="16"/>
      <c r="L8" s="16"/>
      <c r="M8" s="16"/>
      <c r="N8" s="16"/>
    </row>
    <row r="9" spans="1:1017 1028:2044 2055:3071 3082:5112 5123:6139 6150:7166 7177:9207 9218:10234 10245:11261 11272:12288 12299:13302 13313:14329 14340:15356 15367:16383" x14ac:dyDescent="0.25">
      <c r="B9" t="s">
        <v>60</v>
      </c>
      <c r="D9" s="13">
        <f>IFERROR(SUM('Data Sheet'!B18,'Data Sheet'!B20:B21)-1*'Data Sheet'!B19,0)</f>
        <v>409.43</v>
      </c>
      <c r="E9" s="13">
        <f>IFERROR(SUM('Data Sheet'!C18,'Data Sheet'!C20:C21)-1*'Data Sheet'!C19,0)</f>
        <v>431.5</v>
      </c>
      <c r="F9" s="13">
        <f>IFERROR(SUM('Data Sheet'!D18,'Data Sheet'!D20:D21)-1*'Data Sheet'!D19,0)</f>
        <v>471.77</v>
      </c>
      <c r="G9" s="13">
        <f>IFERROR(SUM('Data Sheet'!E18,'Data Sheet'!E20:E21)-1*'Data Sheet'!E19,0)</f>
        <v>519.31999999999994</v>
      </c>
      <c r="H9" s="13">
        <f>IFERROR(SUM('Data Sheet'!F18,'Data Sheet'!F20:F21)-1*'Data Sheet'!F19,0)</f>
        <v>524.38</v>
      </c>
      <c r="I9" s="13">
        <f>IFERROR(SUM('Data Sheet'!G18,'Data Sheet'!G20:G21)-1*'Data Sheet'!G19,0)</f>
        <v>626.30999999999995</v>
      </c>
      <c r="J9" s="13">
        <f>IFERROR(SUM('Data Sheet'!H18,'Data Sheet'!H20:H21)-1*'Data Sheet'!H19,0)</f>
        <v>753.97</v>
      </c>
      <c r="K9" s="13">
        <f>IFERROR(SUM('Data Sheet'!I18,'Data Sheet'!I20:I21)-1*'Data Sheet'!I19,0)</f>
        <v>778.85</v>
      </c>
      <c r="L9" s="13">
        <f>IFERROR(SUM('Data Sheet'!J18,'Data Sheet'!J20:J21)-1*'Data Sheet'!J19,0)</f>
        <v>623.36</v>
      </c>
      <c r="M9" s="13">
        <f>IFERROR(SUM('Data Sheet'!K18,'Data Sheet'!K20:K21)-1*'Data Sheet'!K19,0)</f>
        <v>464.05</v>
      </c>
      <c r="N9" s="13">
        <f>IFERROR(SUM('Data Sheet'!L18,'Data Sheet'!L20:L21)-1*'Data Sheet'!L19,0)</f>
        <v>0</v>
      </c>
    </row>
    <row r="10" spans="1:1017 1028:2044 2055:3071 3082:5112 5123:6139 6150:7166 7177:9207 9218:10234 10245:11261 11272:12288 12299:13302 13313:14329 14340:15356 15367:16383" s="16" customFormat="1" x14ac:dyDescent="0.25">
      <c r="A10" s="15"/>
      <c r="B10" s="15" t="s">
        <v>61</v>
      </c>
      <c r="C10" s="15"/>
      <c r="D10" s="16">
        <f>D9/D6</f>
        <v>0.60853732851770936</v>
      </c>
      <c r="E10" s="16">
        <f t="shared" ref="E10:N10" si="1">E9/E6</f>
        <v>0.61486505742540398</v>
      </c>
      <c r="F10" s="16">
        <f t="shared" si="1"/>
        <v>0.61444386558999742</v>
      </c>
      <c r="G10" s="16">
        <f t="shared" si="1"/>
        <v>0.63651517380006861</v>
      </c>
      <c r="H10" s="16">
        <f t="shared" si="1"/>
        <v>0.61790629713423828</v>
      </c>
      <c r="I10" s="16">
        <f t="shared" si="1"/>
        <v>0.66703942743945288</v>
      </c>
      <c r="J10" s="16">
        <f t="shared" si="1"/>
        <v>0.65205960442449562</v>
      </c>
      <c r="K10" s="16">
        <f t="shared" si="1"/>
        <v>0.62493480650570898</v>
      </c>
      <c r="L10" s="16">
        <f t="shared" si="1"/>
        <v>0.63024861738805138</v>
      </c>
      <c r="M10" s="16">
        <f t="shared" si="1"/>
        <v>0.58427659494101203</v>
      </c>
      <c r="N10" s="16">
        <f t="shared" si="1"/>
        <v>0</v>
      </c>
      <c r="O10" s="15"/>
      <c r="P10" s="15"/>
      <c r="AA10" s="15"/>
      <c r="AB10" s="15"/>
      <c r="AC10" s="15"/>
      <c r="AN10" s="15"/>
      <c r="AO10" s="15"/>
      <c r="AP10" s="15"/>
      <c r="BA10" s="15"/>
      <c r="BB10" s="15"/>
      <c r="BC10" s="15"/>
      <c r="BN10" s="15"/>
      <c r="BO10" s="15"/>
      <c r="BP10" s="15"/>
      <c r="CA10" s="15"/>
      <c r="CB10" s="15"/>
      <c r="CC10" s="15"/>
      <c r="CN10" s="15"/>
      <c r="CO10" s="15"/>
      <c r="CP10" s="15"/>
      <c r="DA10" s="15"/>
      <c r="DB10" s="15"/>
      <c r="DC10" s="15"/>
      <c r="DN10" s="15"/>
      <c r="DO10" s="15"/>
      <c r="DP10" s="15"/>
      <c r="EA10" s="15"/>
      <c r="EB10" s="15"/>
      <c r="EC10" s="15"/>
      <c r="EN10" s="15"/>
      <c r="EO10" s="15"/>
      <c r="EP10" s="15"/>
      <c r="FA10" s="15"/>
      <c r="FB10" s="15"/>
      <c r="FC10" s="15"/>
      <c r="FN10" s="15"/>
      <c r="FO10" s="15"/>
      <c r="FP10" s="15"/>
      <c r="GA10" s="15"/>
      <c r="GB10" s="15"/>
      <c r="GC10" s="15"/>
      <c r="GN10" s="15"/>
      <c r="GO10" s="15"/>
      <c r="GP10" s="15"/>
      <c r="HA10" s="15"/>
      <c r="HB10" s="15"/>
      <c r="HC10" s="15"/>
      <c r="HN10" s="15"/>
      <c r="HO10" s="15"/>
      <c r="HP10" s="15"/>
      <c r="IA10" s="15"/>
      <c r="IB10" s="15"/>
      <c r="IC10" s="15"/>
      <c r="IN10" s="15"/>
      <c r="IO10" s="15"/>
      <c r="IP10" s="15"/>
      <c r="JA10" s="15"/>
      <c r="JB10" s="15"/>
      <c r="JC10" s="15"/>
      <c r="JN10" s="15"/>
      <c r="JO10" s="15"/>
      <c r="JP10" s="15"/>
      <c r="KA10" s="15"/>
      <c r="KB10" s="15"/>
      <c r="KC10" s="15"/>
      <c r="KN10" s="15"/>
      <c r="KO10" s="15"/>
      <c r="KP10" s="15"/>
      <c r="LA10" s="15"/>
      <c r="LB10" s="15"/>
      <c r="LC10" s="15"/>
      <c r="LN10" s="15"/>
      <c r="LO10" s="15"/>
      <c r="LP10" s="15"/>
      <c r="MA10" s="15"/>
      <c r="MB10" s="15"/>
      <c r="MC10" s="15"/>
      <c r="MN10" s="15"/>
      <c r="MO10" s="15"/>
      <c r="MP10" s="15"/>
      <c r="NA10" s="15"/>
      <c r="NB10" s="15"/>
      <c r="NC10" s="15"/>
      <c r="NN10" s="15"/>
      <c r="NO10" s="15"/>
      <c r="NP10" s="15"/>
      <c r="OA10" s="15"/>
      <c r="OB10" s="15"/>
      <c r="OC10" s="15"/>
      <c r="ON10" s="15"/>
      <c r="OO10" s="15"/>
      <c r="OP10" s="15"/>
      <c r="PA10" s="15"/>
      <c r="PB10" s="15"/>
      <c r="PC10" s="15"/>
      <c r="PN10" s="15"/>
      <c r="PO10" s="15"/>
      <c r="PP10" s="15"/>
      <c r="QA10" s="15"/>
      <c r="QB10" s="15"/>
      <c r="QC10" s="15"/>
      <c r="QN10" s="15"/>
      <c r="QO10" s="15"/>
      <c r="QP10" s="15"/>
      <c r="RA10" s="15"/>
      <c r="RB10" s="15"/>
      <c r="RC10" s="15"/>
      <c r="RN10" s="15"/>
      <c r="RO10" s="15"/>
      <c r="RP10" s="15"/>
      <c r="SA10" s="15"/>
      <c r="SB10" s="15"/>
      <c r="SC10" s="15"/>
      <c r="SN10" s="15"/>
      <c r="SO10" s="15"/>
      <c r="SP10" s="15"/>
      <c r="TA10" s="15"/>
      <c r="TB10" s="15"/>
      <c r="TC10" s="15"/>
      <c r="TN10" s="15"/>
      <c r="TO10" s="15"/>
      <c r="TP10" s="15"/>
      <c r="UA10" s="15"/>
      <c r="UB10" s="15"/>
      <c r="UC10" s="15"/>
      <c r="UN10" s="15"/>
      <c r="UO10" s="15"/>
      <c r="UP10" s="15"/>
      <c r="VA10" s="15"/>
      <c r="VB10" s="15"/>
      <c r="VC10" s="15"/>
      <c r="VN10" s="15"/>
      <c r="VO10" s="15"/>
      <c r="VP10" s="15"/>
      <c r="WA10" s="15"/>
      <c r="WB10" s="15"/>
      <c r="WC10" s="15"/>
      <c r="WN10" s="15"/>
      <c r="WO10" s="15"/>
      <c r="WP10" s="15"/>
      <c r="XA10" s="15"/>
      <c r="XB10" s="15"/>
      <c r="XC10" s="15"/>
      <c r="XN10" s="15"/>
      <c r="XO10" s="15"/>
      <c r="XP10" s="15"/>
      <c r="YA10" s="15"/>
      <c r="YB10" s="15"/>
      <c r="YC10" s="15"/>
      <c r="YN10" s="15"/>
      <c r="YO10" s="15"/>
      <c r="YP10" s="15"/>
      <c r="ZA10" s="15"/>
      <c r="ZB10" s="15"/>
      <c r="ZC10" s="15"/>
      <c r="ZN10" s="15"/>
      <c r="ZO10" s="15"/>
      <c r="ZP10" s="15"/>
      <c r="AAA10" s="15"/>
      <c r="AAB10" s="15"/>
      <c r="AAC10" s="15"/>
      <c r="AAN10" s="15"/>
      <c r="AAO10" s="15"/>
      <c r="AAP10" s="15"/>
      <c r="ABA10" s="15"/>
      <c r="ABB10" s="15"/>
      <c r="ABC10" s="15"/>
      <c r="ABN10" s="15"/>
      <c r="ABO10" s="15"/>
      <c r="ABP10" s="15"/>
      <c r="ACA10" s="15"/>
      <c r="ACB10" s="15"/>
      <c r="ACC10" s="15"/>
      <c r="ACN10" s="15"/>
      <c r="ACO10" s="15"/>
      <c r="ACP10" s="15"/>
      <c r="ADA10" s="15"/>
      <c r="ADB10" s="15"/>
      <c r="ADC10" s="15"/>
      <c r="ADN10" s="15"/>
      <c r="ADO10" s="15"/>
      <c r="ADP10" s="15"/>
      <c r="AEA10" s="15"/>
      <c r="AEB10" s="15"/>
      <c r="AEC10" s="15"/>
      <c r="AEN10" s="15"/>
      <c r="AEO10" s="15"/>
      <c r="AEP10" s="15"/>
      <c r="AFA10" s="15"/>
      <c r="AFB10" s="15"/>
      <c r="AFC10" s="15"/>
      <c r="AFN10" s="15"/>
      <c r="AFO10" s="15"/>
      <c r="AFP10" s="15"/>
      <c r="AGA10" s="15"/>
      <c r="AGB10" s="15"/>
      <c r="AGC10" s="15"/>
      <c r="AGN10" s="15"/>
      <c r="AGO10" s="15"/>
      <c r="AGP10" s="15"/>
      <c r="AHA10" s="15"/>
      <c r="AHB10" s="15"/>
      <c r="AHC10" s="15"/>
      <c r="AHN10" s="15"/>
      <c r="AHO10" s="15"/>
      <c r="AHP10" s="15"/>
      <c r="AIA10" s="15"/>
      <c r="AIB10" s="15"/>
      <c r="AIC10" s="15"/>
      <c r="AIN10" s="15"/>
      <c r="AIO10" s="15"/>
      <c r="AIP10" s="15"/>
      <c r="AJA10" s="15"/>
      <c r="AJB10" s="15"/>
      <c r="AJC10" s="15"/>
      <c r="AJN10" s="15"/>
      <c r="AJO10" s="15"/>
      <c r="AJP10" s="15"/>
      <c r="AKA10" s="15"/>
      <c r="AKB10" s="15"/>
      <c r="AKC10" s="15"/>
      <c r="AKN10" s="15"/>
      <c r="AKO10" s="15"/>
      <c r="AKP10" s="15"/>
      <c r="ALA10" s="15"/>
      <c r="ALB10" s="15"/>
      <c r="ALC10" s="15"/>
      <c r="ALN10" s="15"/>
      <c r="ALO10" s="15"/>
      <c r="ALP10" s="15"/>
      <c r="AMA10" s="15"/>
      <c r="AMB10" s="15"/>
      <c r="AMC10" s="15"/>
      <c r="AMN10" s="15"/>
      <c r="AMO10" s="15"/>
      <c r="AMP10" s="15"/>
      <c r="ANA10" s="15"/>
      <c r="ANB10" s="15"/>
      <c r="ANC10" s="15"/>
      <c r="ANN10" s="15"/>
      <c r="ANO10" s="15"/>
      <c r="ANP10" s="15"/>
      <c r="AOA10" s="15"/>
      <c r="AOB10" s="15"/>
      <c r="AOC10" s="15"/>
      <c r="AON10" s="15"/>
      <c r="AOO10" s="15"/>
      <c r="AOP10" s="15"/>
      <c r="APA10" s="15"/>
      <c r="APB10" s="15"/>
      <c r="APC10" s="15"/>
      <c r="APN10" s="15"/>
      <c r="APO10" s="15"/>
      <c r="APP10" s="15"/>
      <c r="AQA10" s="15"/>
      <c r="AQB10" s="15"/>
      <c r="AQC10" s="15"/>
      <c r="AQN10" s="15"/>
      <c r="AQO10" s="15"/>
      <c r="AQP10" s="15"/>
      <c r="ARA10" s="15"/>
      <c r="ARB10" s="15"/>
      <c r="ARC10" s="15"/>
      <c r="ARN10" s="15"/>
      <c r="ARO10" s="15"/>
      <c r="ARP10" s="15"/>
      <c r="ASA10" s="15"/>
      <c r="ASB10" s="15"/>
      <c r="ASC10" s="15"/>
      <c r="ASN10" s="15"/>
      <c r="ASO10" s="15"/>
      <c r="ASP10" s="15"/>
      <c r="ATA10" s="15"/>
      <c r="ATB10" s="15"/>
      <c r="ATC10" s="15"/>
      <c r="ATN10" s="15"/>
      <c r="ATO10" s="15"/>
      <c r="ATP10" s="15"/>
      <c r="AUA10" s="15"/>
      <c r="AUB10" s="15"/>
      <c r="AUC10" s="15"/>
      <c r="AUN10" s="15"/>
      <c r="AUO10" s="15"/>
      <c r="AUP10" s="15"/>
      <c r="AVA10" s="15"/>
      <c r="AVB10" s="15"/>
      <c r="AVC10" s="15"/>
      <c r="AVN10" s="15"/>
      <c r="AVO10" s="15"/>
      <c r="AVP10" s="15"/>
      <c r="AWA10" s="15"/>
      <c r="AWB10" s="15"/>
      <c r="AWC10" s="15"/>
      <c r="AWN10" s="15"/>
      <c r="AWO10" s="15"/>
      <c r="AWP10" s="15"/>
      <c r="AXA10" s="15"/>
      <c r="AXB10" s="15"/>
      <c r="AXC10" s="15"/>
      <c r="AXN10" s="15"/>
      <c r="AXO10" s="15"/>
      <c r="AXP10" s="15"/>
      <c r="AYA10" s="15"/>
      <c r="AYB10" s="15"/>
      <c r="AYC10" s="15"/>
      <c r="AYN10" s="15"/>
      <c r="AYO10" s="15"/>
      <c r="AYP10" s="15"/>
      <c r="AZA10" s="15"/>
      <c r="AZB10" s="15"/>
      <c r="AZC10" s="15"/>
      <c r="AZN10" s="15"/>
      <c r="AZO10" s="15"/>
      <c r="AZP10" s="15"/>
      <c r="BAA10" s="15"/>
      <c r="BAB10" s="15"/>
      <c r="BAC10" s="15"/>
      <c r="BAN10" s="15"/>
      <c r="BAO10" s="15"/>
      <c r="BAP10" s="15"/>
      <c r="BBA10" s="15"/>
      <c r="BBB10" s="15"/>
      <c r="BBC10" s="15"/>
      <c r="BBN10" s="15"/>
      <c r="BBO10" s="15"/>
      <c r="BBP10" s="15"/>
      <c r="BCA10" s="15"/>
      <c r="BCB10" s="15"/>
      <c r="BCC10" s="15"/>
      <c r="BCN10" s="15"/>
      <c r="BCO10" s="15"/>
      <c r="BCP10" s="15"/>
      <c r="BDA10" s="15"/>
      <c r="BDB10" s="15"/>
      <c r="BDC10" s="15"/>
      <c r="BDN10" s="15"/>
      <c r="BDO10" s="15"/>
      <c r="BDP10" s="15"/>
      <c r="BEA10" s="15"/>
      <c r="BEB10" s="15"/>
      <c r="BEC10" s="15"/>
      <c r="BEN10" s="15"/>
      <c r="BEO10" s="15"/>
      <c r="BEP10" s="15"/>
      <c r="BFA10" s="15"/>
      <c r="BFB10" s="15"/>
      <c r="BFC10" s="15"/>
      <c r="BFN10" s="15"/>
      <c r="BFO10" s="15"/>
      <c r="BFP10" s="15"/>
      <c r="BGA10" s="15"/>
      <c r="BGB10" s="15"/>
      <c r="BGC10" s="15"/>
      <c r="BGN10" s="15"/>
      <c r="BGO10" s="15"/>
      <c r="BGP10" s="15"/>
      <c r="BHA10" s="15"/>
      <c r="BHB10" s="15"/>
      <c r="BHC10" s="15"/>
      <c r="BHN10" s="15"/>
      <c r="BHO10" s="15"/>
      <c r="BHP10" s="15"/>
      <c r="BIA10" s="15"/>
      <c r="BIB10" s="15"/>
      <c r="BIC10" s="15"/>
      <c r="BIN10" s="15"/>
      <c r="BIO10" s="15"/>
      <c r="BIP10" s="15"/>
      <c r="BJA10" s="15"/>
      <c r="BJB10" s="15"/>
      <c r="BJC10" s="15"/>
      <c r="BJN10" s="15"/>
      <c r="BJO10" s="15"/>
      <c r="BJP10" s="15"/>
      <c r="BKA10" s="15"/>
      <c r="BKB10" s="15"/>
      <c r="BKC10" s="15"/>
      <c r="BKN10" s="15"/>
      <c r="BKO10" s="15"/>
      <c r="BKP10" s="15"/>
      <c r="BLA10" s="15"/>
      <c r="BLB10" s="15"/>
      <c r="BLC10" s="15"/>
      <c r="BLN10" s="15"/>
      <c r="BLO10" s="15"/>
      <c r="BLP10" s="15"/>
      <c r="BMA10" s="15"/>
      <c r="BMB10" s="15"/>
      <c r="BMC10" s="15"/>
      <c r="BMN10" s="15"/>
      <c r="BMO10" s="15"/>
      <c r="BMP10" s="15"/>
      <c r="BNA10" s="15"/>
      <c r="BNB10" s="15"/>
      <c r="BNC10" s="15"/>
      <c r="BNN10" s="15"/>
      <c r="BNO10" s="15"/>
      <c r="BNP10" s="15"/>
      <c r="BOA10" s="15"/>
      <c r="BOB10" s="15"/>
      <c r="BOC10" s="15"/>
      <c r="BON10" s="15"/>
      <c r="BOO10" s="15"/>
      <c r="BOP10" s="15"/>
      <c r="BPA10" s="15"/>
      <c r="BPB10" s="15"/>
      <c r="BPC10" s="15"/>
      <c r="BPN10" s="15"/>
      <c r="BPO10" s="15"/>
      <c r="BPP10" s="15"/>
      <c r="BQA10" s="15"/>
      <c r="BQB10" s="15"/>
      <c r="BQC10" s="15"/>
      <c r="BQN10" s="15"/>
      <c r="BQO10" s="15"/>
      <c r="BQP10" s="15"/>
      <c r="BRA10" s="15"/>
      <c r="BRB10" s="15"/>
      <c r="BRC10" s="15"/>
      <c r="BRN10" s="15"/>
      <c r="BRO10" s="15"/>
      <c r="BRP10" s="15"/>
      <c r="BSA10" s="15"/>
      <c r="BSB10" s="15"/>
      <c r="BSC10" s="15"/>
      <c r="BSN10" s="15"/>
      <c r="BSO10" s="15"/>
      <c r="BSP10" s="15"/>
      <c r="BTA10" s="15"/>
      <c r="BTB10" s="15"/>
      <c r="BTC10" s="15"/>
      <c r="BTN10" s="15"/>
      <c r="BTO10" s="15"/>
      <c r="BTP10" s="15"/>
      <c r="BUA10" s="15"/>
      <c r="BUB10" s="15"/>
      <c r="BUC10" s="15"/>
      <c r="BUN10" s="15"/>
      <c r="BUO10" s="15"/>
      <c r="BUP10" s="15"/>
      <c r="BVA10" s="15"/>
      <c r="BVB10" s="15"/>
      <c r="BVC10" s="15"/>
      <c r="BVN10" s="15"/>
      <c r="BVO10" s="15"/>
      <c r="BVP10" s="15"/>
      <c r="BWA10" s="15"/>
      <c r="BWB10" s="15"/>
      <c r="BWC10" s="15"/>
      <c r="BWN10" s="15"/>
      <c r="BWO10" s="15"/>
      <c r="BWP10" s="15"/>
      <c r="BXA10" s="15"/>
      <c r="BXB10" s="15"/>
      <c r="BXC10" s="15"/>
      <c r="BXN10" s="15"/>
      <c r="BXO10" s="15"/>
      <c r="BXP10" s="15"/>
      <c r="BYA10" s="15"/>
      <c r="BYB10" s="15"/>
      <c r="BYC10" s="15"/>
      <c r="BYN10" s="15"/>
      <c r="BYO10" s="15"/>
      <c r="BYP10" s="15"/>
      <c r="BZA10" s="15"/>
      <c r="BZB10" s="15"/>
      <c r="BZC10" s="15"/>
      <c r="BZN10" s="15"/>
      <c r="BZO10" s="15"/>
      <c r="BZP10" s="15"/>
      <c r="CAA10" s="15"/>
      <c r="CAB10" s="15"/>
      <c r="CAC10" s="15"/>
      <c r="CAN10" s="15"/>
      <c r="CAO10" s="15"/>
      <c r="CAP10" s="15"/>
      <c r="CBA10" s="15"/>
      <c r="CBB10" s="15"/>
      <c r="CBC10" s="15"/>
      <c r="CBN10" s="15"/>
      <c r="CBO10" s="15"/>
      <c r="CBP10" s="15"/>
      <c r="CCA10" s="15"/>
      <c r="CCB10" s="15"/>
      <c r="CCC10" s="15"/>
      <c r="CCN10" s="15"/>
      <c r="CCO10" s="15"/>
      <c r="CCP10" s="15"/>
      <c r="CDA10" s="15"/>
      <c r="CDB10" s="15"/>
      <c r="CDC10" s="15"/>
      <c r="CDN10" s="15"/>
      <c r="CDO10" s="15"/>
      <c r="CDP10" s="15"/>
      <c r="CEA10" s="15"/>
      <c r="CEB10" s="15"/>
      <c r="CEC10" s="15"/>
      <c r="CEN10" s="15"/>
      <c r="CEO10" s="15"/>
      <c r="CEP10" s="15"/>
      <c r="CFA10" s="15"/>
      <c r="CFB10" s="15"/>
      <c r="CFC10" s="15"/>
      <c r="CFN10" s="15"/>
      <c r="CFO10" s="15"/>
      <c r="CFP10" s="15"/>
      <c r="CGA10" s="15"/>
      <c r="CGB10" s="15"/>
      <c r="CGC10" s="15"/>
      <c r="CGN10" s="15"/>
      <c r="CGO10" s="15"/>
      <c r="CGP10" s="15"/>
      <c r="CHA10" s="15"/>
      <c r="CHB10" s="15"/>
      <c r="CHC10" s="15"/>
      <c r="CHN10" s="15"/>
      <c r="CHO10" s="15"/>
      <c r="CHP10" s="15"/>
      <c r="CIA10" s="15"/>
      <c r="CIB10" s="15"/>
      <c r="CIC10" s="15"/>
      <c r="CIN10" s="15"/>
      <c r="CIO10" s="15"/>
      <c r="CIP10" s="15"/>
      <c r="CJA10" s="15"/>
      <c r="CJB10" s="15"/>
      <c r="CJC10" s="15"/>
      <c r="CJN10" s="15"/>
      <c r="CJO10" s="15"/>
      <c r="CJP10" s="15"/>
      <c r="CKA10" s="15"/>
      <c r="CKB10" s="15"/>
      <c r="CKC10" s="15"/>
      <c r="CKN10" s="15"/>
      <c r="CKO10" s="15"/>
      <c r="CKP10" s="15"/>
      <c r="CLA10" s="15"/>
      <c r="CLB10" s="15"/>
      <c r="CLC10" s="15"/>
      <c r="CLN10" s="15"/>
      <c r="CLO10" s="15"/>
      <c r="CLP10" s="15"/>
      <c r="CMA10" s="15"/>
      <c r="CMB10" s="15"/>
      <c r="CMC10" s="15"/>
      <c r="CMN10" s="15"/>
      <c r="CMO10" s="15"/>
      <c r="CMP10" s="15"/>
      <c r="CNA10" s="15"/>
      <c r="CNB10" s="15"/>
      <c r="CNC10" s="15"/>
      <c r="CNN10" s="15"/>
      <c r="CNO10" s="15"/>
      <c r="CNP10" s="15"/>
      <c r="COA10" s="15"/>
      <c r="COB10" s="15"/>
      <c r="COC10" s="15"/>
      <c r="CON10" s="15"/>
      <c r="COO10" s="15"/>
      <c r="COP10" s="15"/>
      <c r="CPA10" s="15"/>
      <c r="CPB10" s="15"/>
      <c r="CPC10" s="15"/>
      <c r="CPN10" s="15"/>
      <c r="CPO10" s="15"/>
      <c r="CPP10" s="15"/>
      <c r="CQA10" s="15"/>
      <c r="CQB10" s="15"/>
      <c r="CQC10" s="15"/>
      <c r="CQN10" s="15"/>
      <c r="CQO10" s="15"/>
      <c r="CQP10" s="15"/>
      <c r="CRA10" s="15"/>
      <c r="CRB10" s="15"/>
      <c r="CRC10" s="15"/>
      <c r="CRN10" s="15"/>
      <c r="CRO10" s="15"/>
      <c r="CRP10" s="15"/>
      <c r="CSA10" s="15"/>
      <c r="CSB10" s="15"/>
      <c r="CSC10" s="15"/>
      <c r="CSN10" s="15"/>
      <c r="CSO10" s="15"/>
      <c r="CSP10" s="15"/>
      <c r="CTA10" s="15"/>
      <c r="CTB10" s="15"/>
      <c r="CTC10" s="15"/>
      <c r="CTN10" s="15"/>
      <c r="CTO10" s="15"/>
      <c r="CTP10" s="15"/>
      <c r="CUA10" s="15"/>
      <c r="CUB10" s="15"/>
      <c r="CUC10" s="15"/>
      <c r="CUN10" s="15"/>
      <c r="CUO10" s="15"/>
      <c r="CUP10" s="15"/>
      <c r="CVA10" s="15"/>
      <c r="CVB10" s="15"/>
      <c r="CVC10" s="15"/>
      <c r="CVN10" s="15"/>
      <c r="CVO10" s="15"/>
      <c r="CVP10" s="15"/>
      <c r="CWA10" s="15"/>
      <c r="CWB10" s="15"/>
      <c r="CWC10" s="15"/>
      <c r="CWN10" s="15"/>
      <c r="CWO10" s="15"/>
      <c r="CWP10" s="15"/>
      <c r="CXA10" s="15"/>
      <c r="CXB10" s="15"/>
      <c r="CXC10" s="15"/>
      <c r="CXN10" s="15"/>
      <c r="CXO10" s="15"/>
      <c r="CXP10" s="15"/>
      <c r="CYA10" s="15"/>
      <c r="CYB10" s="15"/>
      <c r="CYC10" s="15"/>
      <c r="CYN10" s="15"/>
      <c r="CYO10" s="15"/>
      <c r="CYP10" s="15"/>
      <c r="CZA10" s="15"/>
      <c r="CZB10" s="15"/>
      <c r="CZC10" s="15"/>
      <c r="CZN10" s="15"/>
      <c r="CZO10" s="15"/>
      <c r="CZP10" s="15"/>
      <c r="DAA10" s="15"/>
      <c r="DAB10" s="15"/>
      <c r="DAC10" s="15"/>
      <c r="DAN10" s="15"/>
      <c r="DAO10" s="15"/>
      <c r="DAP10" s="15"/>
      <c r="DBA10" s="15"/>
      <c r="DBB10" s="15"/>
      <c r="DBC10" s="15"/>
      <c r="DBN10" s="15"/>
      <c r="DBO10" s="15"/>
      <c r="DBP10" s="15"/>
      <c r="DCA10" s="15"/>
      <c r="DCB10" s="15"/>
      <c r="DCC10" s="15"/>
      <c r="DCN10" s="15"/>
      <c r="DCO10" s="15"/>
      <c r="DCP10" s="15"/>
      <c r="DDA10" s="15"/>
      <c r="DDB10" s="15"/>
      <c r="DDC10" s="15"/>
      <c r="DDN10" s="15"/>
      <c r="DDO10" s="15"/>
      <c r="DDP10" s="15"/>
      <c r="DEA10" s="15"/>
      <c r="DEB10" s="15"/>
      <c r="DEC10" s="15"/>
      <c r="DEN10" s="15"/>
      <c r="DEO10" s="15"/>
      <c r="DEP10" s="15"/>
      <c r="DFA10" s="15"/>
      <c r="DFB10" s="15"/>
      <c r="DFC10" s="15"/>
      <c r="DFN10" s="15"/>
      <c r="DFO10" s="15"/>
      <c r="DFP10" s="15"/>
      <c r="DGA10" s="15"/>
      <c r="DGB10" s="15"/>
      <c r="DGC10" s="15"/>
      <c r="DGN10" s="15"/>
      <c r="DGO10" s="15"/>
      <c r="DGP10" s="15"/>
      <c r="DHA10" s="15"/>
      <c r="DHB10" s="15"/>
      <c r="DHC10" s="15"/>
      <c r="DHN10" s="15"/>
      <c r="DHO10" s="15"/>
      <c r="DHP10" s="15"/>
      <c r="DIA10" s="15"/>
      <c r="DIB10" s="15"/>
      <c r="DIC10" s="15"/>
      <c r="DIN10" s="15"/>
      <c r="DIO10" s="15"/>
      <c r="DIP10" s="15"/>
      <c r="DJA10" s="15"/>
      <c r="DJB10" s="15"/>
      <c r="DJC10" s="15"/>
      <c r="DJN10" s="15"/>
      <c r="DJO10" s="15"/>
      <c r="DJP10" s="15"/>
      <c r="DKA10" s="15"/>
      <c r="DKB10" s="15"/>
      <c r="DKC10" s="15"/>
      <c r="DKN10" s="15"/>
      <c r="DKO10" s="15"/>
      <c r="DKP10" s="15"/>
      <c r="DLA10" s="15"/>
      <c r="DLB10" s="15"/>
      <c r="DLC10" s="15"/>
      <c r="DLN10" s="15"/>
      <c r="DLO10" s="15"/>
      <c r="DLP10" s="15"/>
      <c r="DMA10" s="15"/>
      <c r="DMB10" s="15"/>
      <c r="DMC10" s="15"/>
      <c r="DMN10" s="15"/>
      <c r="DMO10" s="15"/>
      <c r="DMP10" s="15"/>
      <c r="DNA10" s="15"/>
      <c r="DNB10" s="15"/>
      <c r="DNC10" s="15"/>
      <c r="DNN10" s="15"/>
      <c r="DNO10" s="15"/>
      <c r="DNP10" s="15"/>
      <c r="DOA10" s="15"/>
      <c r="DOB10" s="15"/>
      <c r="DOC10" s="15"/>
      <c r="DON10" s="15"/>
      <c r="DOO10" s="15"/>
      <c r="DOP10" s="15"/>
      <c r="DPA10" s="15"/>
      <c r="DPB10" s="15"/>
      <c r="DPC10" s="15"/>
      <c r="DPN10" s="15"/>
      <c r="DPO10" s="15"/>
      <c r="DPP10" s="15"/>
      <c r="DQA10" s="15"/>
      <c r="DQB10" s="15"/>
      <c r="DQC10" s="15"/>
      <c r="DQN10" s="15"/>
      <c r="DQO10" s="15"/>
      <c r="DQP10" s="15"/>
      <c r="DRA10" s="15"/>
      <c r="DRB10" s="15"/>
      <c r="DRC10" s="15"/>
      <c r="DRN10" s="15"/>
      <c r="DRO10" s="15"/>
      <c r="DRP10" s="15"/>
      <c r="DSA10" s="15"/>
      <c r="DSB10" s="15"/>
      <c r="DSC10" s="15"/>
      <c r="DSN10" s="15"/>
      <c r="DSO10" s="15"/>
      <c r="DSP10" s="15"/>
      <c r="DTA10" s="15"/>
      <c r="DTB10" s="15"/>
      <c r="DTC10" s="15"/>
      <c r="DTN10" s="15"/>
      <c r="DTO10" s="15"/>
      <c r="DTP10" s="15"/>
      <c r="DUA10" s="15"/>
      <c r="DUB10" s="15"/>
      <c r="DUC10" s="15"/>
      <c r="DUN10" s="15"/>
      <c r="DUO10" s="15"/>
      <c r="DUP10" s="15"/>
      <c r="DVA10" s="15"/>
      <c r="DVB10" s="15"/>
      <c r="DVC10" s="15"/>
      <c r="DVN10" s="15"/>
      <c r="DVO10" s="15"/>
      <c r="DVP10" s="15"/>
      <c r="DWA10" s="15"/>
      <c r="DWB10" s="15"/>
      <c r="DWC10" s="15"/>
      <c r="DWN10" s="15"/>
      <c r="DWO10" s="15"/>
      <c r="DWP10" s="15"/>
      <c r="DXA10" s="15"/>
      <c r="DXB10" s="15"/>
      <c r="DXC10" s="15"/>
      <c r="DXN10" s="15"/>
      <c r="DXO10" s="15"/>
      <c r="DXP10" s="15"/>
      <c r="DYA10" s="15"/>
      <c r="DYB10" s="15"/>
      <c r="DYC10" s="15"/>
      <c r="DYN10" s="15"/>
      <c r="DYO10" s="15"/>
      <c r="DYP10" s="15"/>
      <c r="DZA10" s="15"/>
      <c r="DZB10" s="15"/>
      <c r="DZC10" s="15"/>
      <c r="DZN10" s="15"/>
      <c r="DZO10" s="15"/>
      <c r="DZP10" s="15"/>
      <c r="EAA10" s="15"/>
      <c r="EAB10" s="15"/>
      <c r="EAC10" s="15"/>
      <c r="EAN10" s="15"/>
      <c r="EAO10" s="15"/>
      <c r="EAP10" s="15"/>
      <c r="EBA10" s="15"/>
      <c r="EBB10" s="15"/>
      <c r="EBC10" s="15"/>
      <c r="EBN10" s="15"/>
      <c r="EBO10" s="15"/>
      <c r="EBP10" s="15"/>
      <c r="ECA10" s="15"/>
      <c r="ECB10" s="15"/>
      <c r="ECC10" s="15"/>
      <c r="ECN10" s="15"/>
      <c r="ECO10" s="15"/>
      <c r="ECP10" s="15"/>
      <c r="EDA10" s="15"/>
      <c r="EDB10" s="15"/>
      <c r="EDC10" s="15"/>
      <c r="EDN10" s="15"/>
      <c r="EDO10" s="15"/>
      <c r="EDP10" s="15"/>
      <c r="EEA10" s="15"/>
      <c r="EEB10" s="15"/>
      <c r="EEC10" s="15"/>
      <c r="EEN10" s="15"/>
      <c r="EEO10" s="15"/>
      <c r="EEP10" s="15"/>
      <c r="EFA10" s="15"/>
      <c r="EFB10" s="15"/>
      <c r="EFC10" s="15"/>
      <c r="EFN10" s="15"/>
      <c r="EFO10" s="15"/>
      <c r="EFP10" s="15"/>
      <c r="EGA10" s="15"/>
      <c r="EGB10" s="15"/>
      <c r="EGC10" s="15"/>
      <c r="EGN10" s="15"/>
      <c r="EGO10" s="15"/>
      <c r="EGP10" s="15"/>
      <c r="EHA10" s="15"/>
      <c r="EHB10" s="15"/>
      <c r="EHC10" s="15"/>
      <c r="EHN10" s="15"/>
      <c r="EHO10" s="15"/>
      <c r="EHP10" s="15"/>
      <c r="EIA10" s="15"/>
      <c r="EIB10" s="15"/>
      <c r="EIC10" s="15"/>
      <c r="EIN10" s="15"/>
      <c r="EIO10" s="15"/>
      <c r="EIP10" s="15"/>
      <c r="EJA10" s="15"/>
      <c r="EJB10" s="15"/>
      <c r="EJC10" s="15"/>
      <c r="EJN10" s="15"/>
      <c r="EJO10" s="15"/>
      <c r="EJP10" s="15"/>
      <c r="EKA10" s="15"/>
      <c r="EKB10" s="15"/>
      <c r="EKC10" s="15"/>
      <c r="EKN10" s="15"/>
      <c r="EKO10" s="15"/>
      <c r="EKP10" s="15"/>
      <c r="ELA10" s="15"/>
      <c r="ELB10" s="15"/>
      <c r="ELC10" s="15"/>
      <c r="ELN10" s="15"/>
      <c r="ELO10" s="15"/>
      <c r="ELP10" s="15"/>
      <c r="EMA10" s="15"/>
      <c r="EMB10" s="15"/>
      <c r="EMC10" s="15"/>
      <c r="EMN10" s="15"/>
      <c r="EMO10" s="15"/>
      <c r="EMP10" s="15"/>
      <c r="ENA10" s="15"/>
      <c r="ENB10" s="15"/>
      <c r="ENC10" s="15"/>
      <c r="ENN10" s="15"/>
      <c r="ENO10" s="15"/>
      <c r="ENP10" s="15"/>
      <c r="EOA10" s="15"/>
      <c r="EOB10" s="15"/>
      <c r="EOC10" s="15"/>
      <c r="EON10" s="15"/>
      <c r="EOO10" s="15"/>
      <c r="EOP10" s="15"/>
      <c r="EPA10" s="15"/>
      <c r="EPB10" s="15"/>
      <c r="EPC10" s="15"/>
      <c r="EPN10" s="15"/>
      <c r="EPO10" s="15"/>
      <c r="EPP10" s="15"/>
      <c r="EQA10" s="15"/>
      <c r="EQB10" s="15"/>
      <c r="EQC10" s="15"/>
      <c r="EQN10" s="15"/>
      <c r="EQO10" s="15"/>
      <c r="EQP10" s="15"/>
      <c r="ERA10" s="15"/>
      <c r="ERB10" s="15"/>
      <c r="ERC10" s="15"/>
      <c r="ERN10" s="15"/>
      <c r="ERO10" s="15"/>
      <c r="ERP10" s="15"/>
      <c r="ESA10" s="15"/>
      <c r="ESB10" s="15"/>
      <c r="ESC10" s="15"/>
      <c r="ESN10" s="15"/>
      <c r="ESO10" s="15"/>
      <c r="ESP10" s="15"/>
      <c r="ETA10" s="15"/>
      <c r="ETB10" s="15"/>
      <c r="ETC10" s="15"/>
      <c r="ETN10" s="15"/>
      <c r="ETO10" s="15"/>
      <c r="ETP10" s="15"/>
      <c r="EUA10" s="15"/>
      <c r="EUB10" s="15"/>
      <c r="EUC10" s="15"/>
      <c r="EUN10" s="15"/>
      <c r="EUO10" s="15"/>
      <c r="EUP10" s="15"/>
      <c r="EVA10" s="15"/>
      <c r="EVB10" s="15"/>
      <c r="EVC10" s="15"/>
      <c r="EVN10" s="15"/>
      <c r="EVO10" s="15"/>
      <c r="EVP10" s="15"/>
      <c r="EWA10" s="15"/>
      <c r="EWB10" s="15"/>
      <c r="EWC10" s="15"/>
      <c r="EWN10" s="15"/>
      <c r="EWO10" s="15"/>
      <c r="EWP10" s="15"/>
      <c r="EXA10" s="15"/>
      <c r="EXB10" s="15"/>
      <c r="EXC10" s="15"/>
      <c r="EXN10" s="15"/>
      <c r="EXO10" s="15"/>
      <c r="EXP10" s="15"/>
      <c r="EYA10" s="15"/>
      <c r="EYB10" s="15"/>
      <c r="EYC10" s="15"/>
      <c r="EYN10" s="15"/>
      <c r="EYO10" s="15"/>
      <c r="EYP10" s="15"/>
      <c r="EZA10" s="15"/>
      <c r="EZB10" s="15"/>
      <c r="EZC10" s="15"/>
      <c r="EZN10" s="15"/>
      <c r="EZO10" s="15"/>
      <c r="EZP10" s="15"/>
      <c r="FAA10" s="15"/>
      <c r="FAB10" s="15"/>
      <c r="FAC10" s="15"/>
      <c r="FAN10" s="15"/>
      <c r="FAO10" s="15"/>
      <c r="FAP10" s="15"/>
      <c r="FBA10" s="15"/>
      <c r="FBB10" s="15"/>
      <c r="FBC10" s="15"/>
      <c r="FBN10" s="15"/>
      <c r="FBO10" s="15"/>
      <c r="FBP10" s="15"/>
      <c r="FCA10" s="15"/>
      <c r="FCB10" s="15"/>
      <c r="FCC10" s="15"/>
      <c r="FCN10" s="15"/>
      <c r="FCO10" s="15"/>
      <c r="FCP10" s="15"/>
      <c r="FDA10" s="15"/>
      <c r="FDB10" s="15"/>
      <c r="FDC10" s="15"/>
      <c r="FDN10" s="15"/>
      <c r="FDO10" s="15"/>
      <c r="FDP10" s="15"/>
      <c r="FEA10" s="15"/>
      <c r="FEB10" s="15"/>
      <c r="FEC10" s="15"/>
      <c r="FEN10" s="15"/>
      <c r="FEO10" s="15"/>
      <c r="FEP10" s="15"/>
      <c r="FFA10" s="15"/>
      <c r="FFB10" s="15"/>
      <c r="FFC10" s="15"/>
      <c r="FFN10" s="15"/>
      <c r="FFO10" s="15"/>
      <c r="FFP10" s="15"/>
      <c r="FGA10" s="15"/>
      <c r="FGB10" s="15"/>
      <c r="FGC10" s="15"/>
      <c r="FGN10" s="15"/>
      <c r="FGO10" s="15"/>
      <c r="FGP10" s="15"/>
      <c r="FHA10" s="15"/>
      <c r="FHB10" s="15"/>
      <c r="FHC10" s="15"/>
      <c r="FHN10" s="15"/>
      <c r="FHO10" s="15"/>
      <c r="FHP10" s="15"/>
      <c r="FIA10" s="15"/>
      <c r="FIB10" s="15"/>
      <c r="FIC10" s="15"/>
      <c r="FIN10" s="15"/>
      <c r="FIO10" s="15"/>
      <c r="FIP10" s="15"/>
      <c r="FJA10" s="15"/>
      <c r="FJB10" s="15"/>
      <c r="FJC10" s="15"/>
      <c r="FJN10" s="15"/>
      <c r="FJO10" s="15"/>
      <c r="FJP10" s="15"/>
      <c r="FKA10" s="15"/>
      <c r="FKB10" s="15"/>
      <c r="FKC10" s="15"/>
      <c r="FKN10" s="15"/>
      <c r="FKO10" s="15"/>
      <c r="FKP10" s="15"/>
      <c r="FLA10" s="15"/>
      <c r="FLB10" s="15"/>
      <c r="FLC10" s="15"/>
      <c r="FLN10" s="15"/>
      <c r="FLO10" s="15"/>
      <c r="FLP10" s="15"/>
      <c r="FMA10" s="15"/>
      <c r="FMB10" s="15"/>
      <c r="FMC10" s="15"/>
      <c r="FMN10" s="15"/>
      <c r="FMO10" s="15"/>
      <c r="FMP10" s="15"/>
      <c r="FNA10" s="15"/>
      <c r="FNB10" s="15"/>
      <c r="FNC10" s="15"/>
      <c r="FNN10" s="15"/>
      <c r="FNO10" s="15"/>
      <c r="FNP10" s="15"/>
      <c r="FOA10" s="15"/>
      <c r="FOB10" s="15"/>
      <c r="FOC10" s="15"/>
      <c r="FON10" s="15"/>
      <c r="FOO10" s="15"/>
      <c r="FOP10" s="15"/>
      <c r="FPA10" s="15"/>
      <c r="FPB10" s="15"/>
      <c r="FPC10" s="15"/>
      <c r="FPN10" s="15"/>
      <c r="FPO10" s="15"/>
      <c r="FPP10" s="15"/>
      <c r="FQA10" s="15"/>
      <c r="FQB10" s="15"/>
      <c r="FQC10" s="15"/>
      <c r="FQN10" s="15"/>
      <c r="FQO10" s="15"/>
      <c r="FQP10" s="15"/>
      <c r="FRA10" s="15"/>
      <c r="FRB10" s="15"/>
      <c r="FRC10" s="15"/>
      <c r="FRN10" s="15"/>
      <c r="FRO10" s="15"/>
      <c r="FRP10" s="15"/>
      <c r="FSA10" s="15"/>
      <c r="FSB10" s="15"/>
      <c r="FSC10" s="15"/>
      <c r="FSN10" s="15"/>
      <c r="FSO10" s="15"/>
      <c r="FSP10" s="15"/>
      <c r="FTA10" s="15"/>
      <c r="FTB10" s="15"/>
      <c r="FTC10" s="15"/>
      <c r="FTN10" s="15"/>
      <c r="FTO10" s="15"/>
      <c r="FTP10" s="15"/>
      <c r="FUA10" s="15"/>
      <c r="FUB10" s="15"/>
      <c r="FUC10" s="15"/>
      <c r="FUN10" s="15"/>
      <c r="FUO10" s="15"/>
      <c r="FUP10" s="15"/>
      <c r="FVA10" s="15"/>
      <c r="FVB10" s="15"/>
      <c r="FVC10" s="15"/>
      <c r="FVN10" s="15"/>
      <c r="FVO10" s="15"/>
      <c r="FVP10" s="15"/>
      <c r="FWA10" s="15"/>
      <c r="FWB10" s="15"/>
      <c r="FWC10" s="15"/>
      <c r="FWN10" s="15"/>
      <c r="FWO10" s="15"/>
      <c r="FWP10" s="15"/>
      <c r="FXA10" s="15"/>
      <c r="FXB10" s="15"/>
      <c r="FXC10" s="15"/>
      <c r="FXN10" s="15"/>
      <c r="FXO10" s="15"/>
      <c r="FXP10" s="15"/>
      <c r="FYA10" s="15"/>
      <c r="FYB10" s="15"/>
      <c r="FYC10" s="15"/>
      <c r="FYN10" s="15"/>
      <c r="FYO10" s="15"/>
      <c r="FYP10" s="15"/>
      <c r="FZA10" s="15"/>
      <c r="FZB10" s="15"/>
      <c r="FZC10" s="15"/>
      <c r="FZN10" s="15"/>
      <c r="FZO10" s="15"/>
      <c r="FZP10" s="15"/>
      <c r="GAA10" s="15"/>
      <c r="GAB10" s="15"/>
      <c r="GAC10" s="15"/>
      <c r="GAN10" s="15"/>
      <c r="GAO10" s="15"/>
      <c r="GAP10" s="15"/>
      <c r="GBA10" s="15"/>
      <c r="GBB10" s="15"/>
      <c r="GBC10" s="15"/>
      <c r="GBN10" s="15"/>
      <c r="GBO10" s="15"/>
      <c r="GBP10" s="15"/>
      <c r="GCA10" s="15"/>
      <c r="GCB10" s="15"/>
      <c r="GCC10" s="15"/>
      <c r="GCN10" s="15"/>
      <c r="GCO10" s="15"/>
      <c r="GCP10" s="15"/>
      <c r="GDA10" s="15"/>
      <c r="GDB10" s="15"/>
      <c r="GDC10" s="15"/>
      <c r="GDN10" s="15"/>
      <c r="GDO10" s="15"/>
      <c r="GDP10" s="15"/>
      <c r="GEA10" s="15"/>
      <c r="GEB10" s="15"/>
      <c r="GEC10" s="15"/>
      <c r="GEN10" s="15"/>
      <c r="GEO10" s="15"/>
      <c r="GEP10" s="15"/>
      <c r="GFA10" s="15"/>
      <c r="GFB10" s="15"/>
      <c r="GFC10" s="15"/>
      <c r="GFN10" s="15"/>
      <c r="GFO10" s="15"/>
      <c r="GFP10" s="15"/>
      <c r="GGA10" s="15"/>
      <c r="GGB10" s="15"/>
      <c r="GGC10" s="15"/>
      <c r="GGN10" s="15"/>
      <c r="GGO10" s="15"/>
      <c r="GGP10" s="15"/>
      <c r="GHA10" s="15"/>
      <c r="GHB10" s="15"/>
      <c r="GHC10" s="15"/>
      <c r="GHN10" s="15"/>
      <c r="GHO10" s="15"/>
      <c r="GHP10" s="15"/>
      <c r="GIA10" s="15"/>
      <c r="GIB10" s="15"/>
      <c r="GIC10" s="15"/>
      <c r="GIN10" s="15"/>
      <c r="GIO10" s="15"/>
      <c r="GIP10" s="15"/>
      <c r="GJA10" s="15"/>
      <c r="GJB10" s="15"/>
      <c r="GJC10" s="15"/>
      <c r="GJN10" s="15"/>
      <c r="GJO10" s="15"/>
      <c r="GJP10" s="15"/>
      <c r="GKA10" s="15"/>
      <c r="GKB10" s="15"/>
      <c r="GKC10" s="15"/>
      <c r="GKN10" s="15"/>
      <c r="GKO10" s="15"/>
      <c r="GKP10" s="15"/>
      <c r="GLA10" s="15"/>
      <c r="GLB10" s="15"/>
      <c r="GLC10" s="15"/>
      <c r="GLN10" s="15"/>
      <c r="GLO10" s="15"/>
      <c r="GLP10" s="15"/>
      <c r="GMA10" s="15"/>
      <c r="GMB10" s="15"/>
      <c r="GMC10" s="15"/>
      <c r="GMN10" s="15"/>
      <c r="GMO10" s="15"/>
      <c r="GMP10" s="15"/>
      <c r="GNA10" s="15"/>
      <c r="GNB10" s="15"/>
      <c r="GNC10" s="15"/>
      <c r="GNN10" s="15"/>
      <c r="GNO10" s="15"/>
      <c r="GNP10" s="15"/>
      <c r="GOA10" s="15"/>
      <c r="GOB10" s="15"/>
      <c r="GOC10" s="15"/>
      <c r="GON10" s="15"/>
      <c r="GOO10" s="15"/>
      <c r="GOP10" s="15"/>
      <c r="GPA10" s="15"/>
      <c r="GPB10" s="15"/>
      <c r="GPC10" s="15"/>
      <c r="GPN10" s="15"/>
      <c r="GPO10" s="15"/>
      <c r="GPP10" s="15"/>
      <c r="GQA10" s="15"/>
      <c r="GQB10" s="15"/>
      <c r="GQC10" s="15"/>
      <c r="GQN10" s="15"/>
      <c r="GQO10" s="15"/>
      <c r="GQP10" s="15"/>
      <c r="GRA10" s="15"/>
      <c r="GRB10" s="15"/>
      <c r="GRC10" s="15"/>
      <c r="GRN10" s="15"/>
      <c r="GRO10" s="15"/>
      <c r="GRP10" s="15"/>
      <c r="GSA10" s="15"/>
      <c r="GSB10" s="15"/>
      <c r="GSC10" s="15"/>
      <c r="GSN10" s="15"/>
      <c r="GSO10" s="15"/>
      <c r="GSP10" s="15"/>
      <c r="GTA10" s="15"/>
      <c r="GTB10" s="15"/>
      <c r="GTC10" s="15"/>
      <c r="GTN10" s="15"/>
      <c r="GTO10" s="15"/>
      <c r="GTP10" s="15"/>
      <c r="GUA10" s="15"/>
      <c r="GUB10" s="15"/>
      <c r="GUC10" s="15"/>
      <c r="GUN10" s="15"/>
      <c r="GUO10" s="15"/>
      <c r="GUP10" s="15"/>
      <c r="GVA10" s="15"/>
      <c r="GVB10" s="15"/>
      <c r="GVC10" s="15"/>
      <c r="GVN10" s="15"/>
      <c r="GVO10" s="15"/>
      <c r="GVP10" s="15"/>
      <c r="GWA10" s="15"/>
      <c r="GWB10" s="15"/>
      <c r="GWC10" s="15"/>
      <c r="GWN10" s="15"/>
      <c r="GWO10" s="15"/>
      <c r="GWP10" s="15"/>
      <c r="GXA10" s="15"/>
      <c r="GXB10" s="15"/>
      <c r="GXC10" s="15"/>
      <c r="GXN10" s="15"/>
      <c r="GXO10" s="15"/>
      <c r="GXP10" s="15"/>
      <c r="GYA10" s="15"/>
      <c r="GYB10" s="15"/>
      <c r="GYC10" s="15"/>
      <c r="GYN10" s="15"/>
      <c r="GYO10" s="15"/>
      <c r="GYP10" s="15"/>
      <c r="GZA10" s="15"/>
      <c r="GZB10" s="15"/>
      <c r="GZC10" s="15"/>
      <c r="GZN10" s="15"/>
      <c r="GZO10" s="15"/>
      <c r="GZP10" s="15"/>
      <c r="HAA10" s="15"/>
      <c r="HAB10" s="15"/>
      <c r="HAC10" s="15"/>
      <c r="HAN10" s="15"/>
      <c r="HAO10" s="15"/>
      <c r="HAP10" s="15"/>
      <c r="HBA10" s="15"/>
      <c r="HBB10" s="15"/>
      <c r="HBC10" s="15"/>
      <c r="HBN10" s="15"/>
      <c r="HBO10" s="15"/>
      <c r="HBP10" s="15"/>
      <c r="HCA10" s="15"/>
      <c r="HCB10" s="15"/>
      <c r="HCC10" s="15"/>
      <c r="HCN10" s="15"/>
      <c r="HCO10" s="15"/>
      <c r="HCP10" s="15"/>
      <c r="HDA10" s="15"/>
      <c r="HDB10" s="15"/>
      <c r="HDC10" s="15"/>
      <c r="HDN10" s="15"/>
      <c r="HDO10" s="15"/>
      <c r="HDP10" s="15"/>
      <c r="HEA10" s="15"/>
      <c r="HEB10" s="15"/>
      <c r="HEC10" s="15"/>
      <c r="HEN10" s="15"/>
      <c r="HEO10" s="15"/>
      <c r="HEP10" s="15"/>
      <c r="HFA10" s="15"/>
      <c r="HFB10" s="15"/>
      <c r="HFC10" s="15"/>
      <c r="HFN10" s="15"/>
      <c r="HFO10" s="15"/>
      <c r="HFP10" s="15"/>
      <c r="HGA10" s="15"/>
      <c r="HGB10" s="15"/>
      <c r="HGC10" s="15"/>
      <c r="HGN10" s="15"/>
      <c r="HGO10" s="15"/>
      <c r="HGP10" s="15"/>
      <c r="HHA10" s="15"/>
      <c r="HHB10" s="15"/>
      <c r="HHC10" s="15"/>
      <c r="HHN10" s="15"/>
      <c r="HHO10" s="15"/>
      <c r="HHP10" s="15"/>
      <c r="HIA10" s="15"/>
      <c r="HIB10" s="15"/>
      <c r="HIC10" s="15"/>
      <c r="HIN10" s="15"/>
      <c r="HIO10" s="15"/>
      <c r="HIP10" s="15"/>
      <c r="HJA10" s="15"/>
      <c r="HJB10" s="15"/>
      <c r="HJC10" s="15"/>
      <c r="HJN10" s="15"/>
      <c r="HJO10" s="15"/>
      <c r="HJP10" s="15"/>
      <c r="HKA10" s="15"/>
      <c r="HKB10" s="15"/>
      <c r="HKC10" s="15"/>
      <c r="HKN10" s="15"/>
      <c r="HKO10" s="15"/>
      <c r="HKP10" s="15"/>
      <c r="HLA10" s="15"/>
      <c r="HLB10" s="15"/>
      <c r="HLC10" s="15"/>
      <c r="HLN10" s="15"/>
      <c r="HLO10" s="15"/>
      <c r="HLP10" s="15"/>
      <c r="HMA10" s="15"/>
      <c r="HMB10" s="15"/>
      <c r="HMC10" s="15"/>
      <c r="HMN10" s="15"/>
      <c r="HMO10" s="15"/>
      <c r="HMP10" s="15"/>
      <c r="HNA10" s="15"/>
      <c r="HNB10" s="15"/>
      <c r="HNC10" s="15"/>
      <c r="HNN10" s="15"/>
      <c r="HNO10" s="15"/>
      <c r="HNP10" s="15"/>
      <c r="HOA10" s="15"/>
      <c r="HOB10" s="15"/>
      <c r="HOC10" s="15"/>
      <c r="HON10" s="15"/>
      <c r="HOO10" s="15"/>
      <c r="HOP10" s="15"/>
      <c r="HPA10" s="15"/>
      <c r="HPB10" s="15"/>
      <c r="HPC10" s="15"/>
      <c r="HPN10" s="15"/>
      <c r="HPO10" s="15"/>
      <c r="HPP10" s="15"/>
      <c r="HQA10" s="15"/>
      <c r="HQB10" s="15"/>
      <c r="HQC10" s="15"/>
      <c r="HQN10" s="15"/>
      <c r="HQO10" s="15"/>
      <c r="HQP10" s="15"/>
      <c r="HRA10" s="15"/>
      <c r="HRB10" s="15"/>
      <c r="HRC10" s="15"/>
      <c r="HRN10" s="15"/>
      <c r="HRO10" s="15"/>
      <c r="HRP10" s="15"/>
      <c r="HSA10" s="15"/>
      <c r="HSB10" s="15"/>
      <c r="HSC10" s="15"/>
      <c r="HSN10" s="15"/>
      <c r="HSO10" s="15"/>
      <c r="HSP10" s="15"/>
      <c r="HTA10" s="15"/>
      <c r="HTB10" s="15"/>
      <c r="HTC10" s="15"/>
      <c r="HTN10" s="15"/>
      <c r="HTO10" s="15"/>
      <c r="HTP10" s="15"/>
      <c r="HUA10" s="15"/>
      <c r="HUB10" s="15"/>
      <c r="HUC10" s="15"/>
      <c r="HUN10" s="15"/>
      <c r="HUO10" s="15"/>
      <c r="HUP10" s="15"/>
      <c r="HVA10" s="15"/>
      <c r="HVB10" s="15"/>
      <c r="HVC10" s="15"/>
      <c r="HVN10" s="15"/>
      <c r="HVO10" s="15"/>
      <c r="HVP10" s="15"/>
      <c r="HWA10" s="15"/>
      <c r="HWB10" s="15"/>
      <c r="HWC10" s="15"/>
      <c r="HWN10" s="15"/>
      <c r="HWO10" s="15"/>
      <c r="HWP10" s="15"/>
      <c r="HXA10" s="15"/>
      <c r="HXB10" s="15"/>
      <c r="HXC10" s="15"/>
      <c r="HXN10" s="15"/>
      <c r="HXO10" s="15"/>
      <c r="HXP10" s="15"/>
      <c r="HYA10" s="15"/>
      <c r="HYB10" s="15"/>
      <c r="HYC10" s="15"/>
      <c r="HYN10" s="15"/>
      <c r="HYO10" s="15"/>
      <c r="HYP10" s="15"/>
      <c r="HZA10" s="15"/>
      <c r="HZB10" s="15"/>
      <c r="HZC10" s="15"/>
      <c r="HZN10" s="15"/>
      <c r="HZO10" s="15"/>
      <c r="HZP10" s="15"/>
      <c r="IAA10" s="15"/>
      <c r="IAB10" s="15"/>
      <c r="IAC10" s="15"/>
      <c r="IAN10" s="15"/>
      <c r="IAO10" s="15"/>
      <c r="IAP10" s="15"/>
      <c r="IBA10" s="15"/>
      <c r="IBB10" s="15"/>
      <c r="IBC10" s="15"/>
      <c r="IBN10" s="15"/>
      <c r="IBO10" s="15"/>
      <c r="IBP10" s="15"/>
      <c r="ICA10" s="15"/>
      <c r="ICB10" s="15"/>
      <c r="ICC10" s="15"/>
      <c r="ICN10" s="15"/>
      <c r="ICO10" s="15"/>
      <c r="ICP10" s="15"/>
      <c r="IDA10" s="15"/>
      <c r="IDB10" s="15"/>
      <c r="IDC10" s="15"/>
      <c r="IDN10" s="15"/>
      <c r="IDO10" s="15"/>
      <c r="IDP10" s="15"/>
      <c r="IEA10" s="15"/>
      <c r="IEB10" s="15"/>
      <c r="IEC10" s="15"/>
      <c r="IEN10" s="15"/>
      <c r="IEO10" s="15"/>
      <c r="IEP10" s="15"/>
      <c r="IFA10" s="15"/>
      <c r="IFB10" s="15"/>
      <c r="IFC10" s="15"/>
      <c r="IFN10" s="15"/>
      <c r="IFO10" s="15"/>
      <c r="IFP10" s="15"/>
      <c r="IGA10" s="15"/>
      <c r="IGB10" s="15"/>
      <c r="IGC10" s="15"/>
      <c r="IGN10" s="15"/>
      <c r="IGO10" s="15"/>
      <c r="IGP10" s="15"/>
      <c r="IHA10" s="15"/>
      <c r="IHB10" s="15"/>
      <c r="IHC10" s="15"/>
      <c r="IHN10" s="15"/>
      <c r="IHO10" s="15"/>
      <c r="IHP10" s="15"/>
      <c r="IIA10" s="15"/>
      <c r="IIB10" s="15"/>
      <c r="IIC10" s="15"/>
      <c r="IIN10" s="15"/>
      <c r="IIO10" s="15"/>
      <c r="IIP10" s="15"/>
      <c r="IJA10" s="15"/>
      <c r="IJB10" s="15"/>
      <c r="IJC10" s="15"/>
      <c r="IJN10" s="15"/>
      <c r="IJO10" s="15"/>
      <c r="IJP10" s="15"/>
      <c r="IKA10" s="15"/>
      <c r="IKB10" s="15"/>
      <c r="IKC10" s="15"/>
      <c r="IKN10" s="15"/>
      <c r="IKO10" s="15"/>
      <c r="IKP10" s="15"/>
      <c r="ILA10" s="15"/>
      <c r="ILB10" s="15"/>
      <c r="ILC10" s="15"/>
      <c r="ILN10" s="15"/>
      <c r="ILO10" s="15"/>
      <c r="ILP10" s="15"/>
      <c r="IMA10" s="15"/>
      <c r="IMB10" s="15"/>
      <c r="IMC10" s="15"/>
      <c r="IMN10" s="15"/>
      <c r="IMO10" s="15"/>
      <c r="IMP10" s="15"/>
      <c r="INA10" s="15"/>
      <c r="INB10" s="15"/>
      <c r="INC10" s="15"/>
      <c r="INN10" s="15"/>
      <c r="INO10" s="15"/>
      <c r="INP10" s="15"/>
      <c r="IOA10" s="15"/>
      <c r="IOB10" s="15"/>
      <c r="IOC10" s="15"/>
      <c r="ION10" s="15"/>
      <c r="IOO10" s="15"/>
      <c r="IOP10" s="15"/>
      <c r="IPA10" s="15"/>
      <c r="IPB10" s="15"/>
      <c r="IPC10" s="15"/>
      <c r="IPN10" s="15"/>
      <c r="IPO10" s="15"/>
      <c r="IPP10" s="15"/>
      <c r="IQA10" s="15"/>
      <c r="IQB10" s="15"/>
      <c r="IQC10" s="15"/>
      <c r="IQN10" s="15"/>
      <c r="IQO10" s="15"/>
      <c r="IQP10" s="15"/>
      <c r="IRA10" s="15"/>
      <c r="IRB10" s="15"/>
      <c r="IRC10" s="15"/>
      <c r="IRN10" s="15"/>
      <c r="IRO10" s="15"/>
      <c r="IRP10" s="15"/>
      <c r="ISA10" s="15"/>
      <c r="ISB10" s="15"/>
      <c r="ISC10" s="15"/>
      <c r="ISN10" s="15"/>
      <c r="ISO10" s="15"/>
      <c r="ISP10" s="15"/>
      <c r="ITA10" s="15"/>
      <c r="ITB10" s="15"/>
      <c r="ITC10" s="15"/>
      <c r="ITN10" s="15"/>
      <c r="ITO10" s="15"/>
      <c r="ITP10" s="15"/>
      <c r="IUA10" s="15"/>
      <c r="IUB10" s="15"/>
      <c r="IUC10" s="15"/>
      <c r="IUN10" s="15"/>
      <c r="IUO10" s="15"/>
      <c r="IUP10" s="15"/>
      <c r="IVA10" s="15"/>
      <c r="IVB10" s="15"/>
      <c r="IVC10" s="15"/>
      <c r="IVN10" s="15"/>
      <c r="IVO10" s="15"/>
      <c r="IVP10" s="15"/>
      <c r="IWA10" s="15"/>
      <c r="IWB10" s="15"/>
      <c r="IWC10" s="15"/>
      <c r="IWN10" s="15"/>
      <c r="IWO10" s="15"/>
      <c r="IWP10" s="15"/>
      <c r="IXA10" s="15"/>
      <c r="IXB10" s="15"/>
      <c r="IXC10" s="15"/>
      <c r="IXN10" s="15"/>
      <c r="IXO10" s="15"/>
      <c r="IXP10" s="15"/>
      <c r="IYA10" s="15"/>
      <c r="IYB10" s="15"/>
      <c r="IYC10" s="15"/>
      <c r="IYN10" s="15"/>
      <c r="IYO10" s="15"/>
      <c r="IYP10" s="15"/>
      <c r="IZA10" s="15"/>
      <c r="IZB10" s="15"/>
      <c r="IZC10" s="15"/>
      <c r="IZN10" s="15"/>
      <c r="IZO10" s="15"/>
      <c r="IZP10" s="15"/>
      <c r="JAA10" s="15"/>
      <c r="JAB10" s="15"/>
      <c r="JAC10" s="15"/>
      <c r="JAN10" s="15"/>
      <c r="JAO10" s="15"/>
      <c r="JAP10" s="15"/>
      <c r="JBA10" s="15"/>
      <c r="JBB10" s="15"/>
      <c r="JBC10" s="15"/>
      <c r="JBN10" s="15"/>
      <c r="JBO10" s="15"/>
      <c r="JBP10" s="15"/>
      <c r="JCA10" s="15"/>
      <c r="JCB10" s="15"/>
      <c r="JCC10" s="15"/>
      <c r="JCN10" s="15"/>
      <c r="JCO10" s="15"/>
      <c r="JCP10" s="15"/>
      <c r="JDA10" s="15"/>
      <c r="JDB10" s="15"/>
      <c r="JDC10" s="15"/>
      <c r="JDN10" s="15"/>
      <c r="JDO10" s="15"/>
      <c r="JDP10" s="15"/>
      <c r="JEA10" s="15"/>
      <c r="JEB10" s="15"/>
      <c r="JEC10" s="15"/>
      <c r="JEN10" s="15"/>
      <c r="JEO10" s="15"/>
      <c r="JEP10" s="15"/>
      <c r="JFA10" s="15"/>
      <c r="JFB10" s="15"/>
      <c r="JFC10" s="15"/>
      <c r="JFN10" s="15"/>
      <c r="JFO10" s="15"/>
      <c r="JFP10" s="15"/>
      <c r="JGA10" s="15"/>
      <c r="JGB10" s="15"/>
      <c r="JGC10" s="15"/>
      <c r="JGN10" s="15"/>
      <c r="JGO10" s="15"/>
      <c r="JGP10" s="15"/>
      <c r="JHA10" s="15"/>
      <c r="JHB10" s="15"/>
      <c r="JHC10" s="15"/>
      <c r="JHN10" s="15"/>
      <c r="JHO10" s="15"/>
      <c r="JHP10" s="15"/>
      <c r="JIA10" s="15"/>
      <c r="JIB10" s="15"/>
      <c r="JIC10" s="15"/>
      <c r="JIN10" s="15"/>
      <c r="JIO10" s="15"/>
      <c r="JIP10" s="15"/>
      <c r="JJA10" s="15"/>
      <c r="JJB10" s="15"/>
      <c r="JJC10" s="15"/>
      <c r="JJN10" s="15"/>
      <c r="JJO10" s="15"/>
      <c r="JJP10" s="15"/>
      <c r="JKA10" s="15"/>
      <c r="JKB10" s="15"/>
      <c r="JKC10" s="15"/>
      <c r="JKN10" s="15"/>
      <c r="JKO10" s="15"/>
      <c r="JKP10" s="15"/>
      <c r="JLA10" s="15"/>
      <c r="JLB10" s="15"/>
      <c r="JLC10" s="15"/>
      <c r="JLN10" s="15"/>
      <c r="JLO10" s="15"/>
      <c r="JLP10" s="15"/>
      <c r="JMA10" s="15"/>
      <c r="JMB10" s="15"/>
      <c r="JMC10" s="15"/>
      <c r="JMN10" s="15"/>
      <c r="JMO10" s="15"/>
      <c r="JMP10" s="15"/>
      <c r="JNA10" s="15"/>
      <c r="JNB10" s="15"/>
      <c r="JNC10" s="15"/>
      <c r="JNN10" s="15"/>
      <c r="JNO10" s="15"/>
      <c r="JNP10" s="15"/>
      <c r="JOA10" s="15"/>
      <c r="JOB10" s="15"/>
      <c r="JOC10" s="15"/>
      <c r="JON10" s="15"/>
      <c r="JOO10" s="15"/>
      <c r="JOP10" s="15"/>
      <c r="JPA10" s="15"/>
      <c r="JPB10" s="15"/>
      <c r="JPC10" s="15"/>
      <c r="JPN10" s="15"/>
      <c r="JPO10" s="15"/>
      <c r="JPP10" s="15"/>
      <c r="JQA10" s="15"/>
      <c r="JQB10" s="15"/>
      <c r="JQC10" s="15"/>
      <c r="JQN10" s="15"/>
      <c r="JQO10" s="15"/>
      <c r="JQP10" s="15"/>
      <c r="JRA10" s="15"/>
      <c r="JRB10" s="15"/>
      <c r="JRC10" s="15"/>
      <c r="JRN10" s="15"/>
      <c r="JRO10" s="15"/>
      <c r="JRP10" s="15"/>
      <c r="JSA10" s="15"/>
      <c r="JSB10" s="15"/>
      <c r="JSC10" s="15"/>
      <c r="JSN10" s="15"/>
      <c r="JSO10" s="15"/>
      <c r="JSP10" s="15"/>
      <c r="JTA10" s="15"/>
      <c r="JTB10" s="15"/>
      <c r="JTC10" s="15"/>
      <c r="JTN10" s="15"/>
      <c r="JTO10" s="15"/>
      <c r="JTP10" s="15"/>
      <c r="JUA10" s="15"/>
      <c r="JUB10" s="15"/>
      <c r="JUC10" s="15"/>
      <c r="JUN10" s="15"/>
      <c r="JUO10" s="15"/>
      <c r="JUP10" s="15"/>
      <c r="JVA10" s="15"/>
      <c r="JVB10" s="15"/>
      <c r="JVC10" s="15"/>
      <c r="JVN10" s="15"/>
      <c r="JVO10" s="15"/>
      <c r="JVP10" s="15"/>
      <c r="JWA10" s="15"/>
      <c r="JWB10" s="15"/>
      <c r="JWC10" s="15"/>
      <c r="JWN10" s="15"/>
      <c r="JWO10" s="15"/>
      <c r="JWP10" s="15"/>
      <c r="JXA10" s="15"/>
      <c r="JXB10" s="15"/>
      <c r="JXC10" s="15"/>
      <c r="JXN10" s="15"/>
      <c r="JXO10" s="15"/>
      <c r="JXP10" s="15"/>
      <c r="JYA10" s="15"/>
      <c r="JYB10" s="15"/>
      <c r="JYC10" s="15"/>
      <c r="JYN10" s="15"/>
      <c r="JYO10" s="15"/>
      <c r="JYP10" s="15"/>
      <c r="JZA10" s="15"/>
      <c r="JZB10" s="15"/>
      <c r="JZC10" s="15"/>
      <c r="JZN10" s="15"/>
      <c r="JZO10" s="15"/>
      <c r="JZP10" s="15"/>
      <c r="KAA10" s="15"/>
      <c r="KAB10" s="15"/>
      <c r="KAC10" s="15"/>
      <c r="KAN10" s="15"/>
      <c r="KAO10" s="15"/>
      <c r="KAP10" s="15"/>
      <c r="KBA10" s="15"/>
      <c r="KBB10" s="15"/>
      <c r="KBC10" s="15"/>
      <c r="KBN10" s="15"/>
      <c r="KBO10" s="15"/>
      <c r="KBP10" s="15"/>
      <c r="KCA10" s="15"/>
      <c r="KCB10" s="15"/>
      <c r="KCC10" s="15"/>
      <c r="KCN10" s="15"/>
      <c r="KCO10" s="15"/>
      <c r="KCP10" s="15"/>
      <c r="KDA10" s="15"/>
      <c r="KDB10" s="15"/>
      <c r="KDC10" s="15"/>
      <c r="KDN10" s="15"/>
      <c r="KDO10" s="15"/>
      <c r="KDP10" s="15"/>
      <c r="KEA10" s="15"/>
      <c r="KEB10" s="15"/>
      <c r="KEC10" s="15"/>
      <c r="KEN10" s="15"/>
      <c r="KEO10" s="15"/>
      <c r="KEP10" s="15"/>
      <c r="KFA10" s="15"/>
      <c r="KFB10" s="15"/>
      <c r="KFC10" s="15"/>
      <c r="KFN10" s="15"/>
      <c r="KFO10" s="15"/>
      <c r="KFP10" s="15"/>
      <c r="KGA10" s="15"/>
      <c r="KGB10" s="15"/>
      <c r="KGC10" s="15"/>
      <c r="KGN10" s="15"/>
      <c r="KGO10" s="15"/>
      <c r="KGP10" s="15"/>
      <c r="KHA10" s="15"/>
      <c r="KHB10" s="15"/>
      <c r="KHC10" s="15"/>
      <c r="KHN10" s="15"/>
      <c r="KHO10" s="15"/>
      <c r="KHP10" s="15"/>
      <c r="KIA10" s="15"/>
      <c r="KIB10" s="15"/>
      <c r="KIC10" s="15"/>
      <c r="KIN10" s="15"/>
      <c r="KIO10" s="15"/>
      <c r="KIP10" s="15"/>
      <c r="KJA10" s="15"/>
      <c r="KJB10" s="15"/>
      <c r="KJC10" s="15"/>
      <c r="KJN10" s="15"/>
      <c r="KJO10" s="15"/>
      <c r="KJP10" s="15"/>
      <c r="KKA10" s="15"/>
      <c r="KKB10" s="15"/>
      <c r="KKC10" s="15"/>
      <c r="KKN10" s="15"/>
      <c r="KKO10" s="15"/>
      <c r="KKP10" s="15"/>
      <c r="KLA10" s="15"/>
      <c r="KLB10" s="15"/>
      <c r="KLC10" s="15"/>
      <c r="KLN10" s="15"/>
      <c r="KLO10" s="15"/>
      <c r="KLP10" s="15"/>
      <c r="KMA10" s="15"/>
      <c r="KMB10" s="15"/>
      <c r="KMC10" s="15"/>
      <c r="KMN10" s="15"/>
      <c r="KMO10" s="15"/>
      <c r="KMP10" s="15"/>
      <c r="KNA10" s="15"/>
      <c r="KNB10" s="15"/>
      <c r="KNC10" s="15"/>
      <c r="KNN10" s="15"/>
      <c r="KNO10" s="15"/>
      <c r="KNP10" s="15"/>
      <c r="KOA10" s="15"/>
      <c r="KOB10" s="15"/>
      <c r="KOC10" s="15"/>
      <c r="KON10" s="15"/>
      <c r="KOO10" s="15"/>
      <c r="KOP10" s="15"/>
      <c r="KPA10" s="15"/>
      <c r="KPB10" s="15"/>
      <c r="KPC10" s="15"/>
      <c r="KPN10" s="15"/>
      <c r="KPO10" s="15"/>
      <c r="KPP10" s="15"/>
      <c r="KQA10" s="15"/>
      <c r="KQB10" s="15"/>
      <c r="KQC10" s="15"/>
      <c r="KQN10" s="15"/>
      <c r="KQO10" s="15"/>
      <c r="KQP10" s="15"/>
      <c r="KRA10" s="15"/>
      <c r="KRB10" s="15"/>
      <c r="KRC10" s="15"/>
      <c r="KRN10" s="15"/>
      <c r="KRO10" s="15"/>
      <c r="KRP10" s="15"/>
      <c r="KSA10" s="15"/>
      <c r="KSB10" s="15"/>
      <c r="KSC10" s="15"/>
      <c r="KSN10" s="15"/>
      <c r="KSO10" s="15"/>
      <c r="KSP10" s="15"/>
      <c r="KTA10" s="15"/>
      <c r="KTB10" s="15"/>
      <c r="KTC10" s="15"/>
      <c r="KTN10" s="15"/>
      <c r="KTO10" s="15"/>
      <c r="KTP10" s="15"/>
      <c r="KUA10" s="15"/>
      <c r="KUB10" s="15"/>
      <c r="KUC10" s="15"/>
      <c r="KUN10" s="15"/>
      <c r="KUO10" s="15"/>
      <c r="KUP10" s="15"/>
      <c r="KVA10" s="15"/>
      <c r="KVB10" s="15"/>
      <c r="KVC10" s="15"/>
      <c r="KVN10" s="15"/>
      <c r="KVO10" s="15"/>
      <c r="KVP10" s="15"/>
      <c r="KWA10" s="15"/>
      <c r="KWB10" s="15"/>
      <c r="KWC10" s="15"/>
      <c r="KWN10" s="15"/>
      <c r="KWO10" s="15"/>
      <c r="KWP10" s="15"/>
      <c r="KXA10" s="15"/>
      <c r="KXB10" s="15"/>
      <c r="KXC10" s="15"/>
      <c r="KXN10" s="15"/>
      <c r="KXO10" s="15"/>
      <c r="KXP10" s="15"/>
      <c r="KYA10" s="15"/>
      <c r="KYB10" s="15"/>
      <c r="KYC10" s="15"/>
      <c r="KYN10" s="15"/>
      <c r="KYO10" s="15"/>
      <c r="KYP10" s="15"/>
      <c r="KZA10" s="15"/>
      <c r="KZB10" s="15"/>
      <c r="KZC10" s="15"/>
      <c r="KZN10" s="15"/>
      <c r="KZO10" s="15"/>
      <c r="KZP10" s="15"/>
      <c r="LAA10" s="15"/>
      <c r="LAB10" s="15"/>
      <c r="LAC10" s="15"/>
      <c r="LAN10" s="15"/>
      <c r="LAO10" s="15"/>
      <c r="LAP10" s="15"/>
      <c r="LBA10" s="15"/>
      <c r="LBB10" s="15"/>
      <c r="LBC10" s="15"/>
      <c r="LBN10" s="15"/>
      <c r="LBO10" s="15"/>
      <c r="LBP10" s="15"/>
      <c r="LCA10" s="15"/>
      <c r="LCB10" s="15"/>
      <c r="LCC10" s="15"/>
      <c r="LCN10" s="15"/>
      <c r="LCO10" s="15"/>
      <c r="LCP10" s="15"/>
      <c r="LDA10" s="15"/>
      <c r="LDB10" s="15"/>
      <c r="LDC10" s="15"/>
      <c r="LDN10" s="15"/>
      <c r="LDO10" s="15"/>
      <c r="LDP10" s="15"/>
      <c r="LEA10" s="15"/>
      <c r="LEB10" s="15"/>
      <c r="LEC10" s="15"/>
      <c r="LEN10" s="15"/>
      <c r="LEO10" s="15"/>
      <c r="LEP10" s="15"/>
      <c r="LFA10" s="15"/>
      <c r="LFB10" s="15"/>
      <c r="LFC10" s="15"/>
      <c r="LFN10" s="15"/>
      <c r="LFO10" s="15"/>
      <c r="LFP10" s="15"/>
      <c r="LGA10" s="15"/>
      <c r="LGB10" s="15"/>
      <c r="LGC10" s="15"/>
      <c r="LGN10" s="15"/>
      <c r="LGO10" s="15"/>
      <c r="LGP10" s="15"/>
      <c r="LHA10" s="15"/>
      <c r="LHB10" s="15"/>
      <c r="LHC10" s="15"/>
      <c r="LHN10" s="15"/>
      <c r="LHO10" s="15"/>
      <c r="LHP10" s="15"/>
      <c r="LIA10" s="15"/>
      <c r="LIB10" s="15"/>
      <c r="LIC10" s="15"/>
      <c r="LIN10" s="15"/>
      <c r="LIO10" s="15"/>
      <c r="LIP10" s="15"/>
      <c r="LJA10" s="15"/>
      <c r="LJB10" s="15"/>
      <c r="LJC10" s="15"/>
      <c r="LJN10" s="15"/>
      <c r="LJO10" s="15"/>
      <c r="LJP10" s="15"/>
      <c r="LKA10" s="15"/>
      <c r="LKB10" s="15"/>
      <c r="LKC10" s="15"/>
      <c r="LKN10" s="15"/>
      <c r="LKO10" s="15"/>
      <c r="LKP10" s="15"/>
      <c r="LLA10" s="15"/>
      <c r="LLB10" s="15"/>
      <c r="LLC10" s="15"/>
      <c r="LLN10" s="15"/>
      <c r="LLO10" s="15"/>
      <c r="LLP10" s="15"/>
      <c r="LMA10" s="15"/>
      <c r="LMB10" s="15"/>
      <c r="LMC10" s="15"/>
      <c r="LMN10" s="15"/>
      <c r="LMO10" s="15"/>
      <c r="LMP10" s="15"/>
      <c r="LNA10" s="15"/>
      <c r="LNB10" s="15"/>
      <c r="LNC10" s="15"/>
      <c r="LNN10" s="15"/>
      <c r="LNO10" s="15"/>
      <c r="LNP10" s="15"/>
      <c r="LOA10" s="15"/>
      <c r="LOB10" s="15"/>
      <c r="LOC10" s="15"/>
      <c r="LON10" s="15"/>
      <c r="LOO10" s="15"/>
      <c r="LOP10" s="15"/>
      <c r="LPA10" s="15"/>
      <c r="LPB10" s="15"/>
      <c r="LPC10" s="15"/>
      <c r="LPN10" s="15"/>
      <c r="LPO10" s="15"/>
      <c r="LPP10" s="15"/>
      <c r="LQA10" s="15"/>
      <c r="LQB10" s="15"/>
      <c r="LQC10" s="15"/>
      <c r="LQN10" s="15"/>
      <c r="LQO10" s="15"/>
      <c r="LQP10" s="15"/>
      <c r="LRA10" s="15"/>
      <c r="LRB10" s="15"/>
      <c r="LRC10" s="15"/>
      <c r="LRN10" s="15"/>
      <c r="LRO10" s="15"/>
      <c r="LRP10" s="15"/>
      <c r="LSA10" s="15"/>
      <c r="LSB10" s="15"/>
      <c r="LSC10" s="15"/>
      <c r="LSN10" s="15"/>
      <c r="LSO10" s="15"/>
      <c r="LSP10" s="15"/>
      <c r="LTA10" s="15"/>
      <c r="LTB10" s="15"/>
      <c r="LTC10" s="15"/>
      <c r="LTN10" s="15"/>
      <c r="LTO10" s="15"/>
      <c r="LTP10" s="15"/>
      <c r="LUA10" s="15"/>
      <c r="LUB10" s="15"/>
      <c r="LUC10" s="15"/>
      <c r="LUN10" s="15"/>
      <c r="LUO10" s="15"/>
      <c r="LUP10" s="15"/>
      <c r="LVA10" s="15"/>
      <c r="LVB10" s="15"/>
      <c r="LVC10" s="15"/>
      <c r="LVN10" s="15"/>
      <c r="LVO10" s="15"/>
      <c r="LVP10" s="15"/>
      <c r="LWA10" s="15"/>
      <c r="LWB10" s="15"/>
      <c r="LWC10" s="15"/>
      <c r="LWN10" s="15"/>
      <c r="LWO10" s="15"/>
      <c r="LWP10" s="15"/>
      <c r="LXA10" s="15"/>
      <c r="LXB10" s="15"/>
      <c r="LXC10" s="15"/>
      <c r="LXN10" s="15"/>
      <c r="LXO10" s="15"/>
      <c r="LXP10" s="15"/>
      <c r="LYA10" s="15"/>
      <c r="LYB10" s="15"/>
      <c r="LYC10" s="15"/>
      <c r="LYN10" s="15"/>
      <c r="LYO10" s="15"/>
      <c r="LYP10" s="15"/>
      <c r="LZA10" s="15"/>
      <c r="LZB10" s="15"/>
      <c r="LZC10" s="15"/>
      <c r="LZN10" s="15"/>
      <c r="LZO10" s="15"/>
      <c r="LZP10" s="15"/>
      <c r="MAA10" s="15"/>
      <c r="MAB10" s="15"/>
      <c r="MAC10" s="15"/>
      <c r="MAN10" s="15"/>
      <c r="MAO10" s="15"/>
      <c r="MAP10" s="15"/>
      <c r="MBA10" s="15"/>
      <c r="MBB10" s="15"/>
      <c r="MBC10" s="15"/>
      <c r="MBN10" s="15"/>
      <c r="MBO10" s="15"/>
      <c r="MBP10" s="15"/>
      <c r="MCA10" s="15"/>
      <c r="MCB10" s="15"/>
      <c r="MCC10" s="15"/>
      <c r="MCN10" s="15"/>
      <c r="MCO10" s="15"/>
      <c r="MCP10" s="15"/>
      <c r="MDA10" s="15"/>
      <c r="MDB10" s="15"/>
      <c r="MDC10" s="15"/>
      <c r="MDN10" s="15"/>
      <c r="MDO10" s="15"/>
      <c r="MDP10" s="15"/>
      <c r="MEA10" s="15"/>
      <c r="MEB10" s="15"/>
      <c r="MEC10" s="15"/>
      <c r="MEN10" s="15"/>
      <c r="MEO10" s="15"/>
      <c r="MEP10" s="15"/>
      <c r="MFA10" s="15"/>
      <c r="MFB10" s="15"/>
      <c r="MFC10" s="15"/>
      <c r="MFN10" s="15"/>
      <c r="MFO10" s="15"/>
      <c r="MFP10" s="15"/>
      <c r="MGA10" s="15"/>
      <c r="MGB10" s="15"/>
      <c r="MGC10" s="15"/>
      <c r="MGN10" s="15"/>
      <c r="MGO10" s="15"/>
      <c r="MGP10" s="15"/>
      <c r="MHA10" s="15"/>
      <c r="MHB10" s="15"/>
      <c r="MHC10" s="15"/>
      <c r="MHN10" s="15"/>
      <c r="MHO10" s="15"/>
      <c r="MHP10" s="15"/>
      <c r="MIA10" s="15"/>
      <c r="MIB10" s="15"/>
      <c r="MIC10" s="15"/>
      <c r="MIN10" s="15"/>
      <c r="MIO10" s="15"/>
      <c r="MIP10" s="15"/>
      <c r="MJA10" s="15"/>
      <c r="MJB10" s="15"/>
      <c r="MJC10" s="15"/>
      <c r="MJN10" s="15"/>
      <c r="MJO10" s="15"/>
      <c r="MJP10" s="15"/>
      <c r="MKA10" s="15"/>
      <c r="MKB10" s="15"/>
      <c r="MKC10" s="15"/>
      <c r="MKN10" s="15"/>
      <c r="MKO10" s="15"/>
      <c r="MKP10" s="15"/>
      <c r="MLA10" s="15"/>
      <c r="MLB10" s="15"/>
      <c r="MLC10" s="15"/>
      <c r="MLN10" s="15"/>
      <c r="MLO10" s="15"/>
      <c r="MLP10" s="15"/>
      <c r="MMA10" s="15"/>
      <c r="MMB10" s="15"/>
      <c r="MMC10" s="15"/>
      <c r="MMN10" s="15"/>
      <c r="MMO10" s="15"/>
      <c r="MMP10" s="15"/>
      <c r="MNA10" s="15"/>
      <c r="MNB10" s="15"/>
      <c r="MNC10" s="15"/>
      <c r="MNN10" s="15"/>
      <c r="MNO10" s="15"/>
      <c r="MNP10" s="15"/>
      <c r="MOA10" s="15"/>
      <c r="MOB10" s="15"/>
      <c r="MOC10" s="15"/>
      <c r="MON10" s="15"/>
      <c r="MOO10" s="15"/>
      <c r="MOP10" s="15"/>
      <c r="MPA10" s="15"/>
      <c r="MPB10" s="15"/>
      <c r="MPC10" s="15"/>
      <c r="MPN10" s="15"/>
      <c r="MPO10" s="15"/>
      <c r="MPP10" s="15"/>
      <c r="MQA10" s="15"/>
      <c r="MQB10" s="15"/>
      <c r="MQC10" s="15"/>
      <c r="MQN10" s="15"/>
      <c r="MQO10" s="15"/>
      <c r="MQP10" s="15"/>
      <c r="MRA10" s="15"/>
      <c r="MRB10" s="15"/>
      <c r="MRC10" s="15"/>
      <c r="MRN10" s="15"/>
      <c r="MRO10" s="15"/>
      <c r="MRP10" s="15"/>
      <c r="MSA10" s="15"/>
      <c r="MSB10" s="15"/>
      <c r="MSC10" s="15"/>
      <c r="MSN10" s="15"/>
      <c r="MSO10" s="15"/>
      <c r="MSP10" s="15"/>
      <c r="MTA10" s="15"/>
      <c r="MTB10" s="15"/>
      <c r="MTC10" s="15"/>
      <c r="MTN10" s="15"/>
      <c r="MTO10" s="15"/>
      <c r="MTP10" s="15"/>
      <c r="MUA10" s="15"/>
      <c r="MUB10" s="15"/>
      <c r="MUC10" s="15"/>
      <c r="MUN10" s="15"/>
      <c r="MUO10" s="15"/>
      <c r="MUP10" s="15"/>
      <c r="MVA10" s="15"/>
      <c r="MVB10" s="15"/>
      <c r="MVC10" s="15"/>
      <c r="MVN10" s="15"/>
      <c r="MVO10" s="15"/>
      <c r="MVP10" s="15"/>
      <c r="MWA10" s="15"/>
      <c r="MWB10" s="15"/>
      <c r="MWC10" s="15"/>
      <c r="MWN10" s="15"/>
      <c r="MWO10" s="15"/>
      <c r="MWP10" s="15"/>
      <c r="MXA10" s="15"/>
      <c r="MXB10" s="15"/>
      <c r="MXC10" s="15"/>
      <c r="MXN10" s="15"/>
      <c r="MXO10" s="15"/>
      <c r="MXP10" s="15"/>
      <c r="MYA10" s="15"/>
      <c r="MYB10" s="15"/>
      <c r="MYC10" s="15"/>
      <c r="MYN10" s="15"/>
      <c r="MYO10" s="15"/>
      <c r="MYP10" s="15"/>
      <c r="MZA10" s="15"/>
      <c r="MZB10" s="15"/>
      <c r="MZC10" s="15"/>
      <c r="MZN10" s="15"/>
      <c r="MZO10" s="15"/>
      <c r="MZP10" s="15"/>
      <c r="NAA10" s="15"/>
      <c r="NAB10" s="15"/>
      <c r="NAC10" s="15"/>
      <c r="NAN10" s="15"/>
      <c r="NAO10" s="15"/>
      <c r="NAP10" s="15"/>
      <c r="NBA10" s="15"/>
      <c r="NBB10" s="15"/>
      <c r="NBC10" s="15"/>
      <c r="NBN10" s="15"/>
      <c r="NBO10" s="15"/>
      <c r="NBP10" s="15"/>
      <c r="NCA10" s="15"/>
      <c r="NCB10" s="15"/>
      <c r="NCC10" s="15"/>
      <c r="NCN10" s="15"/>
      <c r="NCO10" s="15"/>
      <c r="NCP10" s="15"/>
      <c r="NDA10" s="15"/>
      <c r="NDB10" s="15"/>
      <c r="NDC10" s="15"/>
      <c r="NDN10" s="15"/>
      <c r="NDO10" s="15"/>
      <c r="NDP10" s="15"/>
      <c r="NEA10" s="15"/>
      <c r="NEB10" s="15"/>
      <c r="NEC10" s="15"/>
      <c r="NEN10" s="15"/>
      <c r="NEO10" s="15"/>
      <c r="NEP10" s="15"/>
      <c r="NFA10" s="15"/>
      <c r="NFB10" s="15"/>
      <c r="NFC10" s="15"/>
      <c r="NFN10" s="15"/>
      <c r="NFO10" s="15"/>
      <c r="NFP10" s="15"/>
      <c r="NGA10" s="15"/>
      <c r="NGB10" s="15"/>
      <c r="NGC10" s="15"/>
      <c r="NGN10" s="15"/>
      <c r="NGO10" s="15"/>
      <c r="NGP10" s="15"/>
      <c r="NHA10" s="15"/>
      <c r="NHB10" s="15"/>
      <c r="NHC10" s="15"/>
      <c r="NHN10" s="15"/>
      <c r="NHO10" s="15"/>
      <c r="NHP10" s="15"/>
      <c r="NIA10" s="15"/>
      <c r="NIB10" s="15"/>
      <c r="NIC10" s="15"/>
      <c r="NIN10" s="15"/>
      <c r="NIO10" s="15"/>
      <c r="NIP10" s="15"/>
      <c r="NJA10" s="15"/>
      <c r="NJB10" s="15"/>
      <c r="NJC10" s="15"/>
      <c r="NJN10" s="15"/>
      <c r="NJO10" s="15"/>
      <c r="NJP10" s="15"/>
      <c r="NKA10" s="15"/>
      <c r="NKB10" s="15"/>
      <c r="NKC10" s="15"/>
      <c r="NKN10" s="15"/>
      <c r="NKO10" s="15"/>
      <c r="NKP10" s="15"/>
      <c r="NLA10" s="15"/>
      <c r="NLB10" s="15"/>
      <c r="NLC10" s="15"/>
      <c r="NLN10" s="15"/>
      <c r="NLO10" s="15"/>
      <c r="NLP10" s="15"/>
      <c r="NMA10" s="15"/>
      <c r="NMB10" s="15"/>
      <c r="NMC10" s="15"/>
      <c r="NMN10" s="15"/>
      <c r="NMO10" s="15"/>
      <c r="NMP10" s="15"/>
      <c r="NNA10" s="15"/>
      <c r="NNB10" s="15"/>
      <c r="NNC10" s="15"/>
      <c r="NNN10" s="15"/>
      <c r="NNO10" s="15"/>
      <c r="NNP10" s="15"/>
      <c r="NOA10" s="15"/>
      <c r="NOB10" s="15"/>
      <c r="NOC10" s="15"/>
      <c r="NON10" s="15"/>
      <c r="NOO10" s="15"/>
      <c r="NOP10" s="15"/>
      <c r="NPA10" s="15"/>
      <c r="NPB10" s="15"/>
      <c r="NPC10" s="15"/>
      <c r="NPN10" s="15"/>
      <c r="NPO10" s="15"/>
      <c r="NPP10" s="15"/>
      <c r="NQA10" s="15"/>
      <c r="NQB10" s="15"/>
      <c r="NQC10" s="15"/>
      <c r="NQN10" s="15"/>
      <c r="NQO10" s="15"/>
      <c r="NQP10" s="15"/>
      <c r="NRA10" s="15"/>
      <c r="NRB10" s="15"/>
      <c r="NRC10" s="15"/>
      <c r="NRN10" s="15"/>
      <c r="NRO10" s="15"/>
      <c r="NRP10" s="15"/>
      <c r="NSA10" s="15"/>
      <c r="NSB10" s="15"/>
      <c r="NSC10" s="15"/>
      <c r="NSN10" s="15"/>
      <c r="NSO10" s="15"/>
      <c r="NSP10" s="15"/>
      <c r="NTA10" s="15"/>
      <c r="NTB10" s="15"/>
      <c r="NTC10" s="15"/>
      <c r="NTN10" s="15"/>
      <c r="NTO10" s="15"/>
      <c r="NTP10" s="15"/>
      <c r="NUA10" s="15"/>
      <c r="NUB10" s="15"/>
      <c r="NUC10" s="15"/>
      <c r="NUN10" s="15"/>
      <c r="NUO10" s="15"/>
      <c r="NUP10" s="15"/>
      <c r="NVA10" s="15"/>
      <c r="NVB10" s="15"/>
      <c r="NVC10" s="15"/>
      <c r="NVN10" s="15"/>
      <c r="NVO10" s="15"/>
      <c r="NVP10" s="15"/>
      <c r="NWA10" s="15"/>
      <c r="NWB10" s="15"/>
      <c r="NWC10" s="15"/>
      <c r="NWN10" s="15"/>
      <c r="NWO10" s="15"/>
      <c r="NWP10" s="15"/>
      <c r="NXA10" s="15"/>
      <c r="NXB10" s="15"/>
      <c r="NXC10" s="15"/>
      <c r="NXN10" s="15"/>
      <c r="NXO10" s="15"/>
      <c r="NXP10" s="15"/>
      <c r="NYA10" s="15"/>
      <c r="NYB10" s="15"/>
      <c r="NYC10" s="15"/>
      <c r="NYN10" s="15"/>
      <c r="NYO10" s="15"/>
      <c r="NYP10" s="15"/>
      <c r="NZA10" s="15"/>
      <c r="NZB10" s="15"/>
      <c r="NZC10" s="15"/>
      <c r="NZN10" s="15"/>
      <c r="NZO10" s="15"/>
      <c r="NZP10" s="15"/>
      <c r="OAA10" s="15"/>
      <c r="OAB10" s="15"/>
      <c r="OAC10" s="15"/>
      <c r="OAN10" s="15"/>
      <c r="OAO10" s="15"/>
      <c r="OAP10" s="15"/>
      <c r="OBA10" s="15"/>
      <c r="OBB10" s="15"/>
      <c r="OBC10" s="15"/>
      <c r="OBN10" s="15"/>
      <c r="OBO10" s="15"/>
      <c r="OBP10" s="15"/>
      <c r="OCA10" s="15"/>
      <c r="OCB10" s="15"/>
      <c r="OCC10" s="15"/>
      <c r="OCN10" s="15"/>
      <c r="OCO10" s="15"/>
      <c r="OCP10" s="15"/>
      <c r="ODA10" s="15"/>
      <c r="ODB10" s="15"/>
      <c r="ODC10" s="15"/>
      <c r="ODN10" s="15"/>
      <c r="ODO10" s="15"/>
      <c r="ODP10" s="15"/>
      <c r="OEA10" s="15"/>
      <c r="OEB10" s="15"/>
      <c r="OEC10" s="15"/>
      <c r="OEN10" s="15"/>
      <c r="OEO10" s="15"/>
      <c r="OEP10" s="15"/>
      <c r="OFA10" s="15"/>
      <c r="OFB10" s="15"/>
      <c r="OFC10" s="15"/>
      <c r="OFN10" s="15"/>
      <c r="OFO10" s="15"/>
      <c r="OFP10" s="15"/>
      <c r="OGA10" s="15"/>
      <c r="OGB10" s="15"/>
      <c r="OGC10" s="15"/>
      <c r="OGN10" s="15"/>
      <c r="OGO10" s="15"/>
      <c r="OGP10" s="15"/>
      <c r="OHA10" s="15"/>
      <c r="OHB10" s="15"/>
      <c r="OHC10" s="15"/>
      <c r="OHN10" s="15"/>
      <c r="OHO10" s="15"/>
      <c r="OHP10" s="15"/>
      <c r="OIA10" s="15"/>
      <c r="OIB10" s="15"/>
      <c r="OIC10" s="15"/>
      <c r="OIN10" s="15"/>
      <c r="OIO10" s="15"/>
      <c r="OIP10" s="15"/>
      <c r="OJA10" s="15"/>
      <c r="OJB10" s="15"/>
      <c r="OJC10" s="15"/>
      <c r="OJN10" s="15"/>
      <c r="OJO10" s="15"/>
      <c r="OJP10" s="15"/>
      <c r="OKA10" s="15"/>
      <c r="OKB10" s="15"/>
      <c r="OKC10" s="15"/>
      <c r="OKN10" s="15"/>
      <c r="OKO10" s="15"/>
      <c r="OKP10" s="15"/>
      <c r="OLA10" s="15"/>
      <c r="OLB10" s="15"/>
      <c r="OLC10" s="15"/>
      <c r="OLN10" s="15"/>
      <c r="OLO10" s="15"/>
      <c r="OLP10" s="15"/>
      <c r="OMA10" s="15"/>
      <c r="OMB10" s="15"/>
      <c r="OMC10" s="15"/>
      <c r="OMN10" s="15"/>
      <c r="OMO10" s="15"/>
      <c r="OMP10" s="15"/>
      <c r="ONA10" s="15"/>
      <c r="ONB10" s="15"/>
      <c r="ONC10" s="15"/>
      <c r="ONN10" s="15"/>
      <c r="ONO10" s="15"/>
      <c r="ONP10" s="15"/>
      <c r="OOA10" s="15"/>
      <c r="OOB10" s="15"/>
      <c r="OOC10" s="15"/>
      <c r="OON10" s="15"/>
      <c r="OOO10" s="15"/>
      <c r="OOP10" s="15"/>
      <c r="OPA10" s="15"/>
      <c r="OPB10" s="15"/>
      <c r="OPC10" s="15"/>
      <c r="OPN10" s="15"/>
      <c r="OPO10" s="15"/>
      <c r="OPP10" s="15"/>
      <c r="OQA10" s="15"/>
      <c r="OQB10" s="15"/>
      <c r="OQC10" s="15"/>
      <c r="OQN10" s="15"/>
      <c r="OQO10" s="15"/>
      <c r="OQP10" s="15"/>
      <c r="ORA10" s="15"/>
      <c r="ORB10" s="15"/>
      <c r="ORC10" s="15"/>
      <c r="ORN10" s="15"/>
      <c r="ORO10" s="15"/>
      <c r="ORP10" s="15"/>
      <c r="OSA10" s="15"/>
      <c r="OSB10" s="15"/>
      <c r="OSC10" s="15"/>
      <c r="OSN10" s="15"/>
      <c r="OSO10" s="15"/>
      <c r="OSP10" s="15"/>
      <c r="OTA10" s="15"/>
      <c r="OTB10" s="15"/>
      <c r="OTC10" s="15"/>
      <c r="OTN10" s="15"/>
      <c r="OTO10" s="15"/>
      <c r="OTP10" s="15"/>
      <c r="OUA10" s="15"/>
      <c r="OUB10" s="15"/>
      <c r="OUC10" s="15"/>
      <c r="OUN10" s="15"/>
      <c r="OUO10" s="15"/>
      <c r="OUP10" s="15"/>
      <c r="OVA10" s="15"/>
      <c r="OVB10" s="15"/>
      <c r="OVC10" s="15"/>
      <c r="OVN10" s="15"/>
      <c r="OVO10" s="15"/>
      <c r="OVP10" s="15"/>
      <c r="OWA10" s="15"/>
      <c r="OWB10" s="15"/>
      <c r="OWC10" s="15"/>
      <c r="OWN10" s="15"/>
      <c r="OWO10" s="15"/>
      <c r="OWP10" s="15"/>
      <c r="OXA10" s="15"/>
      <c r="OXB10" s="15"/>
      <c r="OXC10" s="15"/>
      <c r="OXN10" s="15"/>
      <c r="OXO10" s="15"/>
      <c r="OXP10" s="15"/>
      <c r="OYA10" s="15"/>
      <c r="OYB10" s="15"/>
      <c r="OYC10" s="15"/>
      <c r="OYN10" s="15"/>
      <c r="OYO10" s="15"/>
      <c r="OYP10" s="15"/>
      <c r="OZA10" s="15"/>
      <c r="OZB10" s="15"/>
      <c r="OZC10" s="15"/>
      <c r="OZN10" s="15"/>
      <c r="OZO10" s="15"/>
      <c r="OZP10" s="15"/>
      <c r="PAA10" s="15"/>
      <c r="PAB10" s="15"/>
      <c r="PAC10" s="15"/>
      <c r="PAN10" s="15"/>
      <c r="PAO10" s="15"/>
      <c r="PAP10" s="15"/>
      <c r="PBA10" s="15"/>
      <c r="PBB10" s="15"/>
      <c r="PBC10" s="15"/>
      <c r="PBN10" s="15"/>
      <c r="PBO10" s="15"/>
      <c r="PBP10" s="15"/>
      <c r="PCA10" s="15"/>
      <c r="PCB10" s="15"/>
      <c r="PCC10" s="15"/>
      <c r="PCN10" s="15"/>
      <c r="PCO10" s="15"/>
      <c r="PCP10" s="15"/>
      <c r="PDA10" s="15"/>
      <c r="PDB10" s="15"/>
      <c r="PDC10" s="15"/>
      <c r="PDN10" s="15"/>
      <c r="PDO10" s="15"/>
      <c r="PDP10" s="15"/>
      <c r="PEA10" s="15"/>
      <c r="PEB10" s="15"/>
      <c r="PEC10" s="15"/>
      <c r="PEN10" s="15"/>
      <c r="PEO10" s="15"/>
      <c r="PEP10" s="15"/>
      <c r="PFA10" s="15"/>
      <c r="PFB10" s="15"/>
      <c r="PFC10" s="15"/>
      <c r="PFN10" s="15"/>
      <c r="PFO10" s="15"/>
      <c r="PFP10" s="15"/>
      <c r="PGA10" s="15"/>
      <c r="PGB10" s="15"/>
      <c r="PGC10" s="15"/>
      <c r="PGN10" s="15"/>
      <c r="PGO10" s="15"/>
      <c r="PGP10" s="15"/>
      <c r="PHA10" s="15"/>
      <c r="PHB10" s="15"/>
      <c r="PHC10" s="15"/>
      <c r="PHN10" s="15"/>
      <c r="PHO10" s="15"/>
      <c r="PHP10" s="15"/>
      <c r="PIA10" s="15"/>
      <c r="PIB10" s="15"/>
      <c r="PIC10" s="15"/>
      <c r="PIN10" s="15"/>
      <c r="PIO10" s="15"/>
      <c r="PIP10" s="15"/>
      <c r="PJA10" s="15"/>
      <c r="PJB10" s="15"/>
      <c r="PJC10" s="15"/>
      <c r="PJN10" s="15"/>
      <c r="PJO10" s="15"/>
      <c r="PJP10" s="15"/>
      <c r="PKA10" s="15"/>
      <c r="PKB10" s="15"/>
      <c r="PKC10" s="15"/>
      <c r="PKN10" s="15"/>
      <c r="PKO10" s="15"/>
      <c r="PKP10" s="15"/>
      <c r="PLA10" s="15"/>
      <c r="PLB10" s="15"/>
      <c r="PLC10" s="15"/>
      <c r="PLN10" s="15"/>
      <c r="PLO10" s="15"/>
      <c r="PLP10" s="15"/>
      <c r="PMA10" s="15"/>
      <c r="PMB10" s="15"/>
      <c r="PMC10" s="15"/>
      <c r="PMN10" s="15"/>
      <c r="PMO10" s="15"/>
      <c r="PMP10" s="15"/>
      <c r="PNA10" s="15"/>
      <c r="PNB10" s="15"/>
      <c r="PNC10" s="15"/>
      <c r="PNN10" s="15"/>
      <c r="PNO10" s="15"/>
      <c r="PNP10" s="15"/>
      <c r="POA10" s="15"/>
      <c r="POB10" s="15"/>
      <c r="POC10" s="15"/>
      <c r="PON10" s="15"/>
      <c r="POO10" s="15"/>
      <c r="POP10" s="15"/>
      <c r="PPA10" s="15"/>
      <c r="PPB10" s="15"/>
      <c r="PPC10" s="15"/>
      <c r="PPN10" s="15"/>
      <c r="PPO10" s="15"/>
      <c r="PPP10" s="15"/>
      <c r="PQA10" s="15"/>
      <c r="PQB10" s="15"/>
      <c r="PQC10" s="15"/>
      <c r="PQN10" s="15"/>
      <c r="PQO10" s="15"/>
      <c r="PQP10" s="15"/>
      <c r="PRA10" s="15"/>
      <c r="PRB10" s="15"/>
      <c r="PRC10" s="15"/>
      <c r="PRN10" s="15"/>
      <c r="PRO10" s="15"/>
      <c r="PRP10" s="15"/>
      <c r="PSA10" s="15"/>
      <c r="PSB10" s="15"/>
      <c r="PSC10" s="15"/>
      <c r="PSN10" s="15"/>
      <c r="PSO10" s="15"/>
      <c r="PSP10" s="15"/>
      <c r="PTA10" s="15"/>
      <c r="PTB10" s="15"/>
      <c r="PTC10" s="15"/>
      <c r="PTN10" s="15"/>
      <c r="PTO10" s="15"/>
      <c r="PTP10" s="15"/>
      <c r="PUA10" s="15"/>
      <c r="PUB10" s="15"/>
      <c r="PUC10" s="15"/>
      <c r="PUN10" s="15"/>
      <c r="PUO10" s="15"/>
      <c r="PUP10" s="15"/>
      <c r="PVA10" s="15"/>
      <c r="PVB10" s="15"/>
      <c r="PVC10" s="15"/>
      <c r="PVN10" s="15"/>
      <c r="PVO10" s="15"/>
      <c r="PVP10" s="15"/>
      <c r="PWA10" s="15"/>
      <c r="PWB10" s="15"/>
      <c r="PWC10" s="15"/>
      <c r="PWN10" s="15"/>
      <c r="PWO10" s="15"/>
      <c r="PWP10" s="15"/>
      <c r="PXA10" s="15"/>
      <c r="PXB10" s="15"/>
      <c r="PXC10" s="15"/>
      <c r="PXN10" s="15"/>
      <c r="PXO10" s="15"/>
      <c r="PXP10" s="15"/>
      <c r="PYA10" s="15"/>
      <c r="PYB10" s="15"/>
      <c r="PYC10" s="15"/>
      <c r="PYN10" s="15"/>
      <c r="PYO10" s="15"/>
      <c r="PYP10" s="15"/>
      <c r="PZA10" s="15"/>
      <c r="PZB10" s="15"/>
      <c r="PZC10" s="15"/>
      <c r="PZN10" s="15"/>
      <c r="PZO10" s="15"/>
      <c r="PZP10" s="15"/>
      <c r="QAA10" s="15"/>
      <c r="QAB10" s="15"/>
      <c r="QAC10" s="15"/>
      <c r="QAN10" s="15"/>
      <c r="QAO10" s="15"/>
      <c r="QAP10" s="15"/>
      <c r="QBA10" s="15"/>
      <c r="QBB10" s="15"/>
      <c r="QBC10" s="15"/>
      <c r="QBN10" s="15"/>
      <c r="QBO10" s="15"/>
      <c r="QBP10" s="15"/>
      <c r="QCA10" s="15"/>
      <c r="QCB10" s="15"/>
      <c r="QCC10" s="15"/>
      <c r="QCN10" s="15"/>
      <c r="QCO10" s="15"/>
      <c r="QCP10" s="15"/>
      <c r="QDA10" s="15"/>
      <c r="QDB10" s="15"/>
      <c r="QDC10" s="15"/>
      <c r="QDN10" s="15"/>
      <c r="QDO10" s="15"/>
      <c r="QDP10" s="15"/>
      <c r="QEA10" s="15"/>
      <c r="QEB10" s="15"/>
      <c r="QEC10" s="15"/>
      <c r="QEN10" s="15"/>
      <c r="QEO10" s="15"/>
      <c r="QEP10" s="15"/>
      <c r="QFA10" s="15"/>
      <c r="QFB10" s="15"/>
      <c r="QFC10" s="15"/>
      <c r="QFN10" s="15"/>
      <c r="QFO10" s="15"/>
      <c r="QFP10" s="15"/>
      <c r="QGA10" s="15"/>
      <c r="QGB10" s="15"/>
      <c r="QGC10" s="15"/>
      <c r="QGN10" s="15"/>
      <c r="QGO10" s="15"/>
      <c r="QGP10" s="15"/>
      <c r="QHA10" s="15"/>
      <c r="QHB10" s="15"/>
      <c r="QHC10" s="15"/>
      <c r="QHN10" s="15"/>
      <c r="QHO10" s="15"/>
      <c r="QHP10" s="15"/>
      <c r="QIA10" s="15"/>
      <c r="QIB10" s="15"/>
      <c r="QIC10" s="15"/>
      <c r="QIN10" s="15"/>
      <c r="QIO10" s="15"/>
      <c r="QIP10" s="15"/>
      <c r="QJA10" s="15"/>
      <c r="QJB10" s="15"/>
      <c r="QJC10" s="15"/>
      <c r="QJN10" s="15"/>
      <c r="QJO10" s="15"/>
      <c r="QJP10" s="15"/>
      <c r="QKA10" s="15"/>
      <c r="QKB10" s="15"/>
      <c r="QKC10" s="15"/>
      <c r="QKN10" s="15"/>
      <c r="QKO10" s="15"/>
      <c r="QKP10" s="15"/>
      <c r="QLA10" s="15"/>
      <c r="QLB10" s="15"/>
      <c r="QLC10" s="15"/>
      <c r="QLN10" s="15"/>
      <c r="QLO10" s="15"/>
      <c r="QLP10" s="15"/>
      <c r="QMA10" s="15"/>
      <c r="QMB10" s="15"/>
      <c r="QMC10" s="15"/>
      <c r="QMN10" s="15"/>
      <c r="QMO10" s="15"/>
      <c r="QMP10" s="15"/>
      <c r="QNA10" s="15"/>
      <c r="QNB10" s="15"/>
      <c r="QNC10" s="15"/>
      <c r="QNN10" s="15"/>
      <c r="QNO10" s="15"/>
      <c r="QNP10" s="15"/>
      <c r="QOA10" s="15"/>
      <c r="QOB10" s="15"/>
      <c r="QOC10" s="15"/>
      <c r="QON10" s="15"/>
      <c r="QOO10" s="15"/>
      <c r="QOP10" s="15"/>
      <c r="QPA10" s="15"/>
      <c r="QPB10" s="15"/>
      <c r="QPC10" s="15"/>
      <c r="QPN10" s="15"/>
      <c r="QPO10" s="15"/>
      <c r="QPP10" s="15"/>
      <c r="QQA10" s="15"/>
      <c r="QQB10" s="15"/>
      <c r="QQC10" s="15"/>
      <c r="QQN10" s="15"/>
      <c r="QQO10" s="15"/>
      <c r="QQP10" s="15"/>
      <c r="QRA10" s="15"/>
      <c r="QRB10" s="15"/>
      <c r="QRC10" s="15"/>
      <c r="QRN10" s="15"/>
      <c r="QRO10" s="15"/>
      <c r="QRP10" s="15"/>
      <c r="QSA10" s="15"/>
      <c r="QSB10" s="15"/>
      <c r="QSC10" s="15"/>
      <c r="QSN10" s="15"/>
      <c r="QSO10" s="15"/>
      <c r="QSP10" s="15"/>
      <c r="QTA10" s="15"/>
      <c r="QTB10" s="15"/>
      <c r="QTC10" s="15"/>
      <c r="QTN10" s="15"/>
      <c r="QTO10" s="15"/>
      <c r="QTP10" s="15"/>
      <c r="QUA10" s="15"/>
      <c r="QUB10" s="15"/>
      <c r="QUC10" s="15"/>
      <c r="QUN10" s="15"/>
      <c r="QUO10" s="15"/>
      <c r="QUP10" s="15"/>
      <c r="QVA10" s="15"/>
      <c r="QVB10" s="15"/>
      <c r="QVC10" s="15"/>
      <c r="QVN10" s="15"/>
      <c r="QVO10" s="15"/>
      <c r="QVP10" s="15"/>
      <c r="QWA10" s="15"/>
      <c r="QWB10" s="15"/>
      <c r="QWC10" s="15"/>
      <c r="QWN10" s="15"/>
      <c r="QWO10" s="15"/>
      <c r="QWP10" s="15"/>
      <c r="QXA10" s="15"/>
      <c r="QXB10" s="15"/>
      <c r="QXC10" s="15"/>
      <c r="QXN10" s="15"/>
      <c r="QXO10" s="15"/>
      <c r="QXP10" s="15"/>
      <c r="QYA10" s="15"/>
      <c r="QYB10" s="15"/>
      <c r="QYC10" s="15"/>
      <c r="QYN10" s="15"/>
      <c r="QYO10" s="15"/>
      <c r="QYP10" s="15"/>
      <c r="QZA10" s="15"/>
      <c r="QZB10" s="15"/>
      <c r="QZC10" s="15"/>
      <c r="QZN10" s="15"/>
      <c r="QZO10" s="15"/>
      <c r="QZP10" s="15"/>
      <c r="RAA10" s="15"/>
      <c r="RAB10" s="15"/>
      <c r="RAC10" s="15"/>
      <c r="RAN10" s="15"/>
      <c r="RAO10" s="15"/>
      <c r="RAP10" s="15"/>
      <c r="RBA10" s="15"/>
      <c r="RBB10" s="15"/>
      <c r="RBC10" s="15"/>
      <c r="RBN10" s="15"/>
      <c r="RBO10" s="15"/>
      <c r="RBP10" s="15"/>
      <c r="RCA10" s="15"/>
      <c r="RCB10" s="15"/>
      <c r="RCC10" s="15"/>
      <c r="RCN10" s="15"/>
      <c r="RCO10" s="15"/>
      <c r="RCP10" s="15"/>
      <c r="RDA10" s="15"/>
      <c r="RDB10" s="15"/>
      <c r="RDC10" s="15"/>
      <c r="RDN10" s="15"/>
      <c r="RDO10" s="15"/>
      <c r="RDP10" s="15"/>
      <c r="REA10" s="15"/>
      <c r="REB10" s="15"/>
      <c r="REC10" s="15"/>
      <c r="REN10" s="15"/>
      <c r="REO10" s="15"/>
      <c r="REP10" s="15"/>
      <c r="RFA10" s="15"/>
      <c r="RFB10" s="15"/>
      <c r="RFC10" s="15"/>
      <c r="RFN10" s="15"/>
      <c r="RFO10" s="15"/>
      <c r="RFP10" s="15"/>
      <c r="RGA10" s="15"/>
      <c r="RGB10" s="15"/>
      <c r="RGC10" s="15"/>
      <c r="RGN10" s="15"/>
      <c r="RGO10" s="15"/>
      <c r="RGP10" s="15"/>
      <c r="RHA10" s="15"/>
      <c r="RHB10" s="15"/>
      <c r="RHC10" s="15"/>
      <c r="RHN10" s="15"/>
      <c r="RHO10" s="15"/>
      <c r="RHP10" s="15"/>
      <c r="RIA10" s="15"/>
      <c r="RIB10" s="15"/>
      <c r="RIC10" s="15"/>
      <c r="RIN10" s="15"/>
      <c r="RIO10" s="15"/>
      <c r="RIP10" s="15"/>
      <c r="RJA10" s="15"/>
      <c r="RJB10" s="15"/>
      <c r="RJC10" s="15"/>
      <c r="RJN10" s="15"/>
      <c r="RJO10" s="15"/>
      <c r="RJP10" s="15"/>
      <c r="RKA10" s="15"/>
      <c r="RKB10" s="15"/>
      <c r="RKC10" s="15"/>
      <c r="RKN10" s="15"/>
      <c r="RKO10" s="15"/>
      <c r="RKP10" s="15"/>
      <c r="RLA10" s="15"/>
      <c r="RLB10" s="15"/>
      <c r="RLC10" s="15"/>
      <c r="RLN10" s="15"/>
      <c r="RLO10" s="15"/>
      <c r="RLP10" s="15"/>
      <c r="RMA10" s="15"/>
      <c r="RMB10" s="15"/>
      <c r="RMC10" s="15"/>
      <c r="RMN10" s="15"/>
      <c r="RMO10" s="15"/>
      <c r="RMP10" s="15"/>
      <c r="RNA10" s="15"/>
      <c r="RNB10" s="15"/>
      <c r="RNC10" s="15"/>
      <c r="RNN10" s="15"/>
      <c r="RNO10" s="15"/>
      <c r="RNP10" s="15"/>
      <c r="ROA10" s="15"/>
      <c r="ROB10" s="15"/>
      <c r="ROC10" s="15"/>
      <c r="RON10" s="15"/>
      <c r="ROO10" s="15"/>
      <c r="ROP10" s="15"/>
      <c r="RPA10" s="15"/>
      <c r="RPB10" s="15"/>
      <c r="RPC10" s="15"/>
      <c r="RPN10" s="15"/>
      <c r="RPO10" s="15"/>
      <c r="RPP10" s="15"/>
      <c r="RQA10" s="15"/>
      <c r="RQB10" s="15"/>
      <c r="RQC10" s="15"/>
      <c r="RQN10" s="15"/>
      <c r="RQO10" s="15"/>
      <c r="RQP10" s="15"/>
      <c r="RRA10" s="15"/>
      <c r="RRB10" s="15"/>
      <c r="RRC10" s="15"/>
      <c r="RRN10" s="15"/>
      <c r="RRO10" s="15"/>
      <c r="RRP10" s="15"/>
      <c r="RSA10" s="15"/>
      <c r="RSB10" s="15"/>
      <c r="RSC10" s="15"/>
      <c r="RSN10" s="15"/>
      <c r="RSO10" s="15"/>
      <c r="RSP10" s="15"/>
      <c r="RTA10" s="15"/>
      <c r="RTB10" s="15"/>
      <c r="RTC10" s="15"/>
      <c r="RTN10" s="15"/>
      <c r="RTO10" s="15"/>
      <c r="RTP10" s="15"/>
      <c r="RUA10" s="15"/>
      <c r="RUB10" s="15"/>
      <c r="RUC10" s="15"/>
      <c r="RUN10" s="15"/>
      <c r="RUO10" s="15"/>
      <c r="RUP10" s="15"/>
      <c r="RVA10" s="15"/>
      <c r="RVB10" s="15"/>
      <c r="RVC10" s="15"/>
      <c r="RVN10" s="15"/>
      <c r="RVO10" s="15"/>
      <c r="RVP10" s="15"/>
      <c r="RWA10" s="15"/>
      <c r="RWB10" s="15"/>
      <c r="RWC10" s="15"/>
      <c r="RWN10" s="15"/>
      <c r="RWO10" s="15"/>
      <c r="RWP10" s="15"/>
      <c r="RXA10" s="15"/>
      <c r="RXB10" s="15"/>
      <c r="RXC10" s="15"/>
      <c r="RXN10" s="15"/>
      <c r="RXO10" s="15"/>
      <c r="RXP10" s="15"/>
      <c r="RYA10" s="15"/>
      <c r="RYB10" s="15"/>
      <c r="RYC10" s="15"/>
      <c r="RYN10" s="15"/>
      <c r="RYO10" s="15"/>
      <c r="RYP10" s="15"/>
      <c r="RZA10" s="15"/>
      <c r="RZB10" s="15"/>
      <c r="RZC10" s="15"/>
      <c r="RZN10" s="15"/>
      <c r="RZO10" s="15"/>
      <c r="RZP10" s="15"/>
      <c r="SAA10" s="15"/>
      <c r="SAB10" s="15"/>
      <c r="SAC10" s="15"/>
      <c r="SAN10" s="15"/>
      <c r="SAO10" s="15"/>
      <c r="SAP10" s="15"/>
      <c r="SBA10" s="15"/>
      <c r="SBB10" s="15"/>
      <c r="SBC10" s="15"/>
      <c r="SBN10" s="15"/>
      <c r="SBO10" s="15"/>
      <c r="SBP10" s="15"/>
      <c r="SCA10" s="15"/>
      <c r="SCB10" s="15"/>
      <c r="SCC10" s="15"/>
      <c r="SCN10" s="15"/>
      <c r="SCO10" s="15"/>
      <c r="SCP10" s="15"/>
      <c r="SDA10" s="15"/>
      <c r="SDB10" s="15"/>
      <c r="SDC10" s="15"/>
      <c r="SDN10" s="15"/>
      <c r="SDO10" s="15"/>
      <c r="SDP10" s="15"/>
      <c r="SEA10" s="15"/>
      <c r="SEB10" s="15"/>
      <c r="SEC10" s="15"/>
      <c r="SEN10" s="15"/>
      <c r="SEO10" s="15"/>
      <c r="SEP10" s="15"/>
      <c r="SFA10" s="15"/>
      <c r="SFB10" s="15"/>
      <c r="SFC10" s="15"/>
      <c r="SFN10" s="15"/>
      <c r="SFO10" s="15"/>
      <c r="SFP10" s="15"/>
      <c r="SGA10" s="15"/>
      <c r="SGB10" s="15"/>
      <c r="SGC10" s="15"/>
      <c r="SGN10" s="15"/>
      <c r="SGO10" s="15"/>
      <c r="SGP10" s="15"/>
      <c r="SHA10" s="15"/>
      <c r="SHB10" s="15"/>
      <c r="SHC10" s="15"/>
      <c r="SHN10" s="15"/>
      <c r="SHO10" s="15"/>
      <c r="SHP10" s="15"/>
      <c r="SIA10" s="15"/>
      <c r="SIB10" s="15"/>
      <c r="SIC10" s="15"/>
      <c r="SIN10" s="15"/>
      <c r="SIO10" s="15"/>
      <c r="SIP10" s="15"/>
      <c r="SJA10" s="15"/>
      <c r="SJB10" s="15"/>
      <c r="SJC10" s="15"/>
      <c r="SJN10" s="15"/>
      <c r="SJO10" s="15"/>
      <c r="SJP10" s="15"/>
      <c r="SKA10" s="15"/>
      <c r="SKB10" s="15"/>
      <c r="SKC10" s="15"/>
      <c r="SKN10" s="15"/>
      <c r="SKO10" s="15"/>
      <c r="SKP10" s="15"/>
      <c r="SLA10" s="15"/>
      <c r="SLB10" s="15"/>
      <c r="SLC10" s="15"/>
      <c r="SLN10" s="15"/>
      <c r="SLO10" s="15"/>
      <c r="SLP10" s="15"/>
      <c r="SMA10" s="15"/>
      <c r="SMB10" s="15"/>
      <c r="SMC10" s="15"/>
      <c r="SMN10" s="15"/>
      <c r="SMO10" s="15"/>
      <c r="SMP10" s="15"/>
      <c r="SNA10" s="15"/>
      <c r="SNB10" s="15"/>
      <c r="SNC10" s="15"/>
      <c r="SNN10" s="15"/>
      <c r="SNO10" s="15"/>
      <c r="SNP10" s="15"/>
      <c r="SOA10" s="15"/>
      <c r="SOB10" s="15"/>
      <c r="SOC10" s="15"/>
      <c r="SON10" s="15"/>
      <c r="SOO10" s="15"/>
      <c r="SOP10" s="15"/>
      <c r="SPA10" s="15"/>
      <c r="SPB10" s="15"/>
      <c r="SPC10" s="15"/>
      <c r="SPN10" s="15"/>
      <c r="SPO10" s="15"/>
      <c r="SPP10" s="15"/>
      <c r="SQA10" s="15"/>
      <c r="SQB10" s="15"/>
      <c r="SQC10" s="15"/>
      <c r="SQN10" s="15"/>
      <c r="SQO10" s="15"/>
      <c r="SQP10" s="15"/>
      <c r="SRA10" s="15"/>
      <c r="SRB10" s="15"/>
      <c r="SRC10" s="15"/>
      <c r="SRN10" s="15"/>
      <c r="SRO10" s="15"/>
      <c r="SRP10" s="15"/>
      <c r="SSA10" s="15"/>
      <c r="SSB10" s="15"/>
      <c r="SSC10" s="15"/>
      <c r="SSN10" s="15"/>
      <c r="SSO10" s="15"/>
      <c r="SSP10" s="15"/>
      <c r="STA10" s="15"/>
      <c r="STB10" s="15"/>
      <c r="STC10" s="15"/>
      <c r="STN10" s="15"/>
      <c r="STO10" s="15"/>
      <c r="STP10" s="15"/>
      <c r="SUA10" s="15"/>
      <c r="SUB10" s="15"/>
      <c r="SUC10" s="15"/>
      <c r="SUN10" s="15"/>
      <c r="SUO10" s="15"/>
      <c r="SUP10" s="15"/>
      <c r="SVA10" s="15"/>
      <c r="SVB10" s="15"/>
      <c r="SVC10" s="15"/>
      <c r="SVN10" s="15"/>
      <c r="SVO10" s="15"/>
      <c r="SVP10" s="15"/>
      <c r="SWA10" s="15"/>
      <c r="SWB10" s="15"/>
      <c r="SWC10" s="15"/>
      <c r="SWN10" s="15"/>
      <c r="SWO10" s="15"/>
      <c r="SWP10" s="15"/>
      <c r="SXA10" s="15"/>
      <c r="SXB10" s="15"/>
      <c r="SXC10" s="15"/>
      <c r="SXN10" s="15"/>
      <c r="SXO10" s="15"/>
      <c r="SXP10" s="15"/>
      <c r="SYA10" s="15"/>
      <c r="SYB10" s="15"/>
      <c r="SYC10" s="15"/>
      <c r="SYN10" s="15"/>
      <c r="SYO10" s="15"/>
      <c r="SYP10" s="15"/>
      <c r="SZA10" s="15"/>
      <c r="SZB10" s="15"/>
      <c r="SZC10" s="15"/>
      <c r="SZN10" s="15"/>
      <c r="SZO10" s="15"/>
      <c r="SZP10" s="15"/>
      <c r="TAA10" s="15"/>
      <c r="TAB10" s="15"/>
      <c r="TAC10" s="15"/>
      <c r="TAN10" s="15"/>
      <c r="TAO10" s="15"/>
      <c r="TAP10" s="15"/>
      <c r="TBA10" s="15"/>
      <c r="TBB10" s="15"/>
      <c r="TBC10" s="15"/>
      <c r="TBN10" s="15"/>
      <c r="TBO10" s="15"/>
      <c r="TBP10" s="15"/>
      <c r="TCA10" s="15"/>
      <c r="TCB10" s="15"/>
      <c r="TCC10" s="15"/>
      <c r="TCN10" s="15"/>
      <c r="TCO10" s="15"/>
      <c r="TCP10" s="15"/>
      <c r="TDA10" s="15"/>
      <c r="TDB10" s="15"/>
      <c r="TDC10" s="15"/>
      <c r="TDN10" s="15"/>
      <c r="TDO10" s="15"/>
      <c r="TDP10" s="15"/>
      <c r="TEA10" s="15"/>
      <c r="TEB10" s="15"/>
      <c r="TEC10" s="15"/>
      <c r="TEN10" s="15"/>
      <c r="TEO10" s="15"/>
      <c r="TEP10" s="15"/>
      <c r="TFA10" s="15"/>
      <c r="TFB10" s="15"/>
      <c r="TFC10" s="15"/>
      <c r="TFN10" s="15"/>
      <c r="TFO10" s="15"/>
      <c r="TFP10" s="15"/>
      <c r="TGA10" s="15"/>
      <c r="TGB10" s="15"/>
      <c r="TGC10" s="15"/>
      <c r="TGN10" s="15"/>
      <c r="TGO10" s="15"/>
      <c r="TGP10" s="15"/>
      <c r="THA10" s="15"/>
      <c r="THB10" s="15"/>
      <c r="THC10" s="15"/>
      <c r="THN10" s="15"/>
      <c r="THO10" s="15"/>
      <c r="THP10" s="15"/>
      <c r="TIA10" s="15"/>
      <c r="TIB10" s="15"/>
      <c r="TIC10" s="15"/>
      <c r="TIN10" s="15"/>
      <c r="TIO10" s="15"/>
      <c r="TIP10" s="15"/>
      <c r="TJA10" s="15"/>
      <c r="TJB10" s="15"/>
      <c r="TJC10" s="15"/>
      <c r="TJN10" s="15"/>
      <c r="TJO10" s="15"/>
      <c r="TJP10" s="15"/>
      <c r="TKA10" s="15"/>
      <c r="TKB10" s="15"/>
      <c r="TKC10" s="15"/>
      <c r="TKN10" s="15"/>
      <c r="TKO10" s="15"/>
      <c r="TKP10" s="15"/>
      <c r="TLA10" s="15"/>
      <c r="TLB10" s="15"/>
      <c r="TLC10" s="15"/>
      <c r="TLN10" s="15"/>
      <c r="TLO10" s="15"/>
      <c r="TLP10" s="15"/>
      <c r="TMA10" s="15"/>
      <c r="TMB10" s="15"/>
      <c r="TMC10" s="15"/>
      <c r="TMN10" s="15"/>
      <c r="TMO10" s="15"/>
      <c r="TMP10" s="15"/>
      <c r="TNA10" s="15"/>
      <c r="TNB10" s="15"/>
      <c r="TNC10" s="15"/>
      <c r="TNN10" s="15"/>
      <c r="TNO10" s="15"/>
      <c r="TNP10" s="15"/>
      <c r="TOA10" s="15"/>
      <c r="TOB10" s="15"/>
      <c r="TOC10" s="15"/>
      <c r="TON10" s="15"/>
      <c r="TOO10" s="15"/>
      <c r="TOP10" s="15"/>
      <c r="TPA10" s="15"/>
      <c r="TPB10" s="15"/>
      <c r="TPC10" s="15"/>
      <c r="TPN10" s="15"/>
      <c r="TPO10" s="15"/>
      <c r="TPP10" s="15"/>
      <c r="TQA10" s="15"/>
      <c r="TQB10" s="15"/>
      <c r="TQC10" s="15"/>
      <c r="TQN10" s="15"/>
      <c r="TQO10" s="15"/>
      <c r="TQP10" s="15"/>
      <c r="TRA10" s="15"/>
      <c r="TRB10" s="15"/>
      <c r="TRC10" s="15"/>
      <c r="TRN10" s="15"/>
      <c r="TRO10" s="15"/>
      <c r="TRP10" s="15"/>
      <c r="TSA10" s="15"/>
      <c r="TSB10" s="15"/>
      <c r="TSC10" s="15"/>
      <c r="TSN10" s="15"/>
      <c r="TSO10" s="15"/>
      <c r="TSP10" s="15"/>
      <c r="TTA10" s="15"/>
      <c r="TTB10" s="15"/>
      <c r="TTC10" s="15"/>
      <c r="TTN10" s="15"/>
      <c r="TTO10" s="15"/>
      <c r="TTP10" s="15"/>
      <c r="TUA10" s="15"/>
      <c r="TUB10" s="15"/>
      <c r="TUC10" s="15"/>
      <c r="TUN10" s="15"/>
      <c r="TUO10" s="15"/>
      <c r="TUP10" s="15"/>
      <c r="TVA10" s="15"/>
      <c r="TVB10" s="15"/>
      <c r="TVC10" s="15"/>
      <c r="TVN10" s="15"/>
      <c r="TVO10" s="15"/>
      <c r="TVP10" s="15"/>
      <c r="TWA10" s="15"/>
      <c r="TWB10" s="15"/>
      <c r="TWC10" s="15"/>
      <c r="TWN10" s="15"/>
      <c r="TWO10" s="15"/>
      <c r="TWP10" s="15"/>
      <c r="TXA10" s="15"/>
      <c r="TXB10" s="15"/>
      <c r="TXC10" s="15"/>
      <c r="TXN10" s="15"/>
      <c r="TXO10" s="15"/>
      <c r="TXP10" s="15"/>
      <c r="TYA10" s="15"/>
      <c r="TYB10" s="15"/>
      <c r="TYC10" s="15"/>
      <c r="TYN10" s="15"/>
      <c r="TYO10" s="15"/>
      <c r="TYP10" s="15"/>
      <c r="TZA10" s="15"/>
      <c r="TZB10" s="15"/>
      <c r="TZC10" s="15"/>
      <c r="TZN10" s="15"/>
      <c r="TZO10" s="15"/>
      <c r="TZP10" s="15"/>
      <c r="UAA10" s="15"/>
      <c r="UAB10" s="15"/>
      <c r="UAC10" s="15"/>
      <c r="UAN10" s="15"/>
      <c r="UAO10" s="15"/>
      <c r="UAP10" s="15"/>
      <c r="UBA10" s="15"/>
      <c r="UBB10" s="15"/>
      <c r="UBC10" s="15"/>
      <c r="UBN10" s="15"/>
      <c r="UBO10" s="15"/>
      <c r="UBP10" s="15"/>
      <c r="UCA10" s="15"/>
      <c r="UCB10" s="15"/>
      <c r="UCC10" s="15"/>
      <c r="UCN10" s="15"/>
      <c r="UCO10" s="15"/>
      <c r="UCP10" s="15"/>
      <c r="UDA10" s="15"/>
      <c r="UDB10" s="15"/>
      <c r="UDC10" s="15"/>
      <c r="UDN10" s="15"/>
      <c r="UDO10" s="15"/>
      <c r="UDP10" s="15"/>
      <c r="UEA10" s="15"/>
      <c r="UEB10" s="15"/>
      <c r="UEC10" s="15"/>
      <c r="UEN10" s="15"/>
      <c r="UEO10" s="15"/>
      <c r="UEP10" s="15"/>
      <c r="UFA10" s="15"/>
      <c r="UFB10" s="15"/>
      <c r="UFC10" s="15"/>
      <c r="UFN10" s="15"/>
      <c r="UFO10" s="15"/>
      <c r="UFP10" s="15"/>
      <c r="UGA10" s="15"/>
      <c r="UGB10" s="15"/>
      <c r="UGC10" s="15"/>
      <c r="UGN10" s="15"/>
      <c r="UGO10" s="15"/>
      <c r="UGP10" s="15"/>
      <c r="UHA10" s="15"/>
      <c r="UHB10" s="15"/>
      <c r="UHC10" s="15"/>
      <c r="UHN10" s="15"/>
      <c r="UHO10" s="15"/>
      <c r="UHP10" s="15"/>
      <c r="UIA10" s="15"/>
      <c r="UIB10" s="15"/>
      <c r="UIC10" s="15"/>
      <c r="UIN10" s="15"/>
      <c r="UIO10" s="15"/>
      <c r="UIP10" s="15"/>
      <c r="UJA10" s="15"/>
      <c r="UJB10" s="15"/>
      <c r="UJC10" s="15"/>
      <c r="UJN10" s="15"/>
      <c r="UJO10" s="15"/>
      <c r="UJP10" s="15"/>
      <c r="UKA10" s="15"/>
      <c r="UKB10" s="15"/>
      <c r="UKC10" s="15"/>
      <c r="UKN10" s="15"/>
      <c r="UKO10" s="15"/>
      <c r="UKP10" s="15"/>
      <c r="ULA10" s="15"/>
      <c r="ULB10" s="15"/>
      <c r="ULC10" s="15"/>
      <c r="ULN10" s="15"/>
      <c r="ULO10" s="15"/>
      <c r="ULP10" s="15"/>
      <c r="UMA10" s="15"/>
      <c r="UMB10" s="15"/>
      <c r="UMC10" s="15"/>
      <c r="UMN10" s="15"/>
      <c r="UMO10" s="15"/>
      <c r="UMP10" s="15"/>
      <c r="UNA10" s="15"/>
      <c r="UNB10" s="15"/>
      <c r="UNC10" s="15"/>
      <c r="UNN10" s="15"/>
      <c r="UNO10" s="15"/>
      <c r="UNP10" s="15"/>
      <c r="UOA10" s="15"/>
      <c r="UOB10" s="15"/>
      <c r="UOC10" s="15"/>
      <c r="UON10" s="15"/>
      <c r="UOO10" s="15"/>
      <c r="UOP10" s="15"/>
      <c r="UPA10" s="15"/>
      <c r="UPB10" s="15"/>
      <c r="UPC10" s="15"/>
      <c r="UPN10" s="15"/>
      <c r="UPO10" s="15"/>
      <c r="UPP10" s="15"/>
      <c r="UQA10" s="15"/>
      <c r="UQB10" s="15"/>
      <c r="UQC10" s="15"/>
      <c r="UQN10" s="15"/>
      <c r="UQO10" s="15"/>
      <c r="UQP10" s="15"/>
      <c r="URA10" s="15"/>
      <c r="URB10" s="15"/>
      <c r="URC10" s="15"/>
      <c r="URN10" s="15"/>
      <c r="URO10" s="15"/>
      <c r="URP10" s="15"/>
      <c r="USA10" s="15"/>
      <c r="USB10" s="15"/>
      <c r="USC10" s="15"/>
      <c r="USN10" s="15"/>
      <c r="USO10" s="15"/>
      <c r="USP10" s="15"/>
      <c r="UTA10" s="15"/>
      <c r="UTB10" s="15"/>
      <c r="UTC10" s="15"/>
      <c r="UTN10" s="15"/>
      <c r="UTO10" s="15"/>
      <c r="UTP10" s="15"/>
      <c r="UUA10" s="15"/>
      <c r="UUB10" s="15"/>
      <c r="UUC10" s="15"/>
      <c r="UUN10" s="15"/>
      <c r="UUO10" s="15"/>
      <c r="UUP10" s="15"/>
      <c r="UVA10" s="15"/>
      <c r="UVB10" s="15"/>
      <c r="UVC10" s="15"/>
      <c r="UVN10" s="15"/>
      <c r="UVO10" s="15"/>
      <c r="UVP10" s="15"/>
      <c r="UWA10" s="15"/>
      <c r="UWB10" s="15"/>
      <c r="UWC10" s="15"/>
      <c r="UWN10" s="15"/>
      <c r="UWO10" s="15"/>
      <c r="UWP10" s="15"/>
      <c r="UXA10" s="15"/>
      <c r="UXB10" s="15"/>
      <c r="UXC10" s="15"/>
      <c r="UXN10" s="15"/>
      <c r="UXO10" s="15"/>
      <c r="UXP10" s="15"/>
      <c r="UYA10" s="15"/>
      <c r="UYB10" s="15"/>
      <c r="UYC10" s="15"/>
      <c r="UYN10" s="15"/>
      <c r="UYO10" s="15"/>
      <c r="UYP10" s="15"/>
      <c r="UZA10" s="15"/>
      <c r="UZB10" s="15"/>
      <c r="UZC10" s="15"/>
      <c r="UZN10" s="15"/>
      <c r="UZO10" s="15"/>
      <c r="UZP10" s="15"/>
      <c r="VAA10" s="15"/>
      <c r="VAB10" s="15"/>
      <c r="VAC10" s="15"/>
      <c r="VAN10" s="15"/>
      <c r="VAO10" s="15"/>
      <c r="VAP10" s="15"/>
      <c r="VBA10" s="15"/>
      <c r="VBB10" s="15"/>
      <c r="VBC10" s="15"/>
      <c r="VBN10" s="15"/>
      <c r="VBO10" s="15"/>
      <c r="VBP10" s="15"/>
      <c r="VCA10" s="15"/>
      <c r="VCB10" s="15"/>
      <c r="VCC10" s="15"/>
      <c r="VCN10" s="15"/>
      <c r="VCO10" s="15"/>
      <c r="VCP10" s="15"/>
      <c r="VDA10" s="15"/>
      <c r="VDB10" s="15"/>
      <c r="VDC10" s="15"/>
      <c r="VDN10" s="15"/>
      <c r="VDO10" s="15"/>
      <c r="VDP10" s="15"/>
      <c r="VEA10" s="15"/>
      <c r="VEB10" s="15"/>
      <c r="VEC10" s="15"/>
      <c r="VEN10" s="15"/>
      <c r="VEO10" s="15"/>
      <c r="VEP10" s="15"/>
      <c r="VFA10" s="15"/>
      <c r="VFB10" s="15"/>
      <c r="VFC10" s="15"/>
      <c r="VFN10" s="15"/>
      <c r="VFO10" s="15"/>
      <c r="VFP10" s="15"/>
      <c r="VGA10" s="15"/>
      <c r="VGB10" s="15"/>
      <c r="VGC10" s="15"/>
      <c r="VGN10" s="15"/>
      <c r="VGO10" s="15"/>
      <c r="VGP10" s="15"/>
      <c r="VHA10" s="15"/>
      <c r="VHB10" s="15"/>
      <c r="VHC10" s="15"/>
      <c r="VHN10" s="15"/>
      <c r="VHO10" s="15"/>
      <c r="VHP10" s="15"/>
      <c r="VIA10" s="15"/>
      <c r="VIB10" s="15"/>
      <c r="VIC10" s="15"/>
      <c r="VIN10" s="15"/>
      <c r="VIO10" s="15"/>
      <c r="VIP10" s="15"/>
      <c r="VJA10" s="15"/>
      <c r="VJB10" s="15"/>
      <c r="VJC10" s="15"/>
      <c r="VJN10" s="15"/>
      <c r="VJO10" s="15"/>
      <c r="VJP10" s="15"/>
      <c r="VKA10" s="15"/>
      <c r="VKB10" s="15"/>
      <c r="VKC10" s="15"/>
      <c r="VKN10" s="15"/>
      <c r="VKO10" s="15"/>
      <c r="VKP10" s="15"/>
      <c r="VLA10" s="15"/>
      <c r="VLB10" s="15"/>
      <c r="VLC10" s="15"/>
      <c r="VLN10" s="15"/>
      <c r="VLO10" s="15"/>
      <c r="VLP10" s="15"/>
      <c r="VMA10" s="15"/>
      <c r="VMB10" s="15"/>
      <c r="VMC10" s="15"/>
      <c r="VMN10" s="15"/>
      <c r="VMO10" s="15"/>
      <c r="VMP10" s="15"/>
      <c r="VNA10" s="15"/>
      <c r="VNB10" s="15"/>
      <c r="VNC10" s="15"/>
      <c r="VNN10" s="15"/>
      <c r="VNO10" s="15"/>
      <c r="VNP10" s="15"/>
      <c r="VOA10" s="15"/>
      <c r="VOB10" s="15"/>
      <c r="VOC10" s="15"/>
      <c r="VON10" s="15"/>
      <c r="VOO10" s="15"/>
      <c r="VOP10" s="15"/>
      <c r="VPA10" s="15"/>
      <c r="VPB10" s="15"/>
      <c r="VPC10" s="15"/>
      <c r="VPN10" s="15"/>
      <c r="VPO10" s="15"/>
      <c r="VPP10" s="15"/>
      <c r="VQA10" s="15"/>
      <c r="VQB10" s="15"/>
      <c r="VQC10" s="15"/>
      <c r="VQN10" s="15"/>
      <c r="VQO10" s="15"/>
      <c r="VQP10" s="15"/>
      <c r="VRA10" s="15"/>
      <c r="VRB10" s="15"/>
      <c r="VRC10" s="15"/>
      <c r="VRN10" s="15"/>
      <c r="VRO10" s="15"/>
      <c r="VRP10" s="15"/>
      <c r="VSA10" s="15"/>
      <c r="VSB10" s="15"/>
      <c r="VSC10" s="15"/>
      <c r="VSN10" s="15"/>
      <c r="VSO10" s="15"/>
      <c r="VSP10" s="15"/>
      <c r="VTA10" s="15"/>
      <c r="VTB10" s="15"/>
      <c r="VTC10" s="15"/>
      <c r="VTN10" s="15"/>
      <c r="VTO10" s="15"/>
      <c r="VTP10" s="15"/>
      <c r="VUA10" s="15"/>
      <c r="VUB10" s="15"/>
      <c r="VUC10" s="15"/>
      <c r="VUN10" s="15"/>
      <c r="VUO10" s="15"/>
      <c r="VUP10" s="15"/>
      <c r="VVA10" s="15"/>
      <c r="VVB10" s="15"/>
      <c r="VVC10" s="15"/>
      <c r="VVN10" s="15"/>
      <c r="VVO10" s="15"/>
      <c r="VVP10" s="15"/>
      <c r="VWA10" s="15"/>
      <c r="VWB10" s="15"/>
      <c r="VWC10" s="15"/>
      <c r="VWN10" s="15"/>
      <c r="VWO10" s="15"/>
      <c r="VWP10" s="15"/>
      <c r="VXA10" s="15"/>
      <c r="VXB10" s="15"/>
      <c r="VXC10" s="15"/>
      <c r="VXN10" s="15"/>
      <c r="VXO10" s="15"/>
      <c r="VXP10" s="15"/>
      <c r="VYA10" s="15"/>
      <c r="VYB10" s="15"/>
      <c r="VYC10" s="15"/>
      <c r="VYN10" s="15"/>
      <c r="VYO10" s="15"/>
      <c r="VYP10" s="15"/>
      <c r="VZA10" s="15"/>
      <c r="VZB10" s="15"/>
      <c r="VZC10" s="15"/>
      <c r="VZN10" s="15"/>
      <c r="VZO10" s="15"/>
      <c r="VZP10" s="15"/>
      <c r="WAA10" s="15"/>
      <c r="WAB10" s="15"/>
      <c r="WAC10" s="15"/>
      <c r="WAN10" s="15"/>
      <c r="WAO10" s="15"/>
      <c r="WAP10" s="15"/>
      <c r="WBA10" s="15"/>
      <c r="WBB10" s="15"/>
      <c r="WBC10" s="15"/>
      <c r="WBN10" s="15"/>
      <c r="WBO10" s="15"/>
      <c r="WBP10" s="15"/>
      <c r="WCA10" s="15"/>
      <c r="WCB10" s="15"/>
      <c r="WCC10" s="15"/>
      <c r="WCN10" s="15"/>
      <c r="WCO10" s="15"/>
      <c r="WCP10" s="15"/>
      <c r="WDA10" s="15"/>
      <c r="WDB10" s="15"/>
      <c r="WDC10" s="15"/>
      <c r="WDN10" s="15"/>
      <c r="WDO10" s="15"/>
      <c r="WDP10" s="15"/>
      <c r="WEA10" s="15"/>
      <c r="WEB10" s="15"/>
      <c r="WEC10" s="15"/>
      <c r="WEN10" s="15"/>
      <c r="WEO10" s="15"/>
      <c r="WEP10" s="15"/>
      <c r="WFA10" s="15"/>
      <c r="WFB10" s="15"/>
      <c r="WFC10" s="15"/>
      <c r="WFN10" s="15"/>
      <c r="WFO10" s="15"/>
      <c r="WFP10" s="15"/>
      <c r="WGA10" s="15"/>
      <c r="WGB10" s="15"/>
      <c r="WGC10" s="15"/>
      <c r="WGN10" s="15"/>
      <c r="WGO10" s="15"/>
      <c r="WGP10" s="15"/>
      <c r="WHA10" s="15"/>
      <c r="WHB10" s="15"/>
      <c r="WHC10" s="15"/>
      <c r="WHN10" s="15"/>
      <c r="WHO10" s="15"/>
      <c r="WHP10" s="15"/>
      <c r="WIA10" s="15"/>
      <c r="WIB10" s="15"/>
      <c r="WIC10" s="15"/>
      <c r="WIN10" s="15"/>
      <c r="WIO10" s="15"/>
      <c r="WIP10" s="15"/>
      <c r="WJA10" s="15"/>
      <c r="WJB10" s="15"/>
      <c r="WJC10" s="15"/>
      <c r="WJN10" s="15"/>
      <c r="WJO10" s="15"/>
      <c r="WJP10" s="15"/>
      <c r="WKA10" s="15"/>
      <c r="WKB10" s="15"/>
      <c r="WKC10" s="15"/>
      <c r="WKN10" s="15"/>
      <c r="WKO10" s="15"/>
      <c r="WKP10" s="15"/>
      <c r="WLA10" s="15"/>
      <c r="WLB10" s="15"/>
      <c r="WLC10" s="15"/>
      <c r="WLN10" s="15"/>
      <c r="WLO10" s="15"/>
      <c r="WLP10" s="15"/>
      <c r="WMA10" s="15"/>
      <c r="WMB10" s="15"/>
      <c r="WMC10" s="15"/>
      <c r="WMN10" s="15"/>
      <c r="WMO10" s="15"/>
      <c r="WMP10" s="15"/>
      <c r="WNA10" s="15"/>
      <c r="WNB10" s="15"/>
      <c r="WNC10" s="15"/>
      <c r="WNN10" s="15"/>
      <c r="WNO10" s="15"/>
      <c r="WNP10" s="15"/>
      <c r="WOA10" s="15"/>
      <c r="WOB10" s="15"/>
      <c r="WOC10" s="15"/>
      <c r="WON10" s="15"/>
      <c r="WOO10" s="15"/>
      <c r="WOP10" s="15"/>
      <c r="WPA10" s="15"/>
      <c r="WPB10" s="15"/>
      <c r="WPC10" s="15"/>
      <c r="WPN10" s="15"/>
      <c r="WPO10" s="15"/>
      <c r="WPP10" s="15"/>
      <c r="WQA10" s="15"/>
      <c r="WQB10" s="15"/>
      <c r="WQC10" s="15"/>
      <c r="WQN10" s="15"/>
      <c r="WQO10" s="15"/>
      <c r="WQP10" s="15"/>
      <c r="WRA10" s="15"/>
      <c r="WRB10" s="15"/>
      <c r="WRC10" s="15"/>
      <c r="WRN10" s="15"/>
      <c r="WRO10" s="15"/>
      <c r="WRP10" s="15"/>
      <c r="WSA10" s="15"/>
      <c r="WSB10" s="15"/>
      <c r="WSC10" s="15"/>
      <c r="WSN10" s="15"/>
      <c r="WSO10" s="15"/>
      <c r="WSP10" s="15"/>
      <c r="WTA10" s="15"/>
      <c r="WTB10" s="15"/>
      <c r="WTC10" s="15"/>
      <c r="WTN10" s="15"/>
      <c r="WTO10" s="15"/>
      <c r="WTP10" s="15"/>
      <c r="WUA10" s="15"/>
      <c r="WUB10" s="15"/>
      <c r="WUC10" s="15"/>
      <c r="WUN10" s="15"/>
      <c r="WUO10" s="15"/>
      <c r="WUP10" s="15"/>
      <c r="WVA10" s="15"/>
      <c r="WVB10" s="15"/>
      <c r="WVC10" s="15"/>
      <c r="WVN10" s="15"/>
      <c r="WVO10" s="15"/>
      <c r="WVP10" s="15"/>
      <c r="WWA10" s="15"/>
      <c r="WWB10" s="15"/>
      <c r="WWC10" s="15"/>
      <c r="WWN10" s="15"/>
      <c r="WWO10" s="15"/>
      <c r="WWP10" s="15"/>
      <c r="WXA10" s="15"/>
      <c r="WXB10" s="15"/>
      <c r="WXC10" s="15"/>
      <c r="WXN10" s="15"/>
      <c r="WXO10" s="15"/>
      <c r="WXP10" s="15"/>
      <c r="WYA10" s="15"/>
      <c r="WYB10" s="15"/>
      <c r="WYC10" s="15"/>
      <c r="WYN10" s="15"/>
      <c r="WYO10" s="15"/>
      <c r="WYP10" s="15"/>
      <c r="WZA10" s="15"/>
      <c r="WZB10" s="15"/>
      <c r="WZC10" s="15"/>
      <c r="WZN10" s="15"/>
      <c r="WZO10" s="15"/>
      <c r="WZP10" s="15"/>
      <c r="XAA10" s="15"/>
      <c r="XAB10" s="15"/>
      <c r="XAC10" s="15"/>
      <c r="XAN10" s="15"/>
      <c r="XAO10" s="15"/>
      <c r="XAP10" s="15"/>
      <c r="XBA10" s="15"/>
      <c r="XBB10" s="15"/>
      <c r="XBC10" s="15"/>
      <c r="XBN10" s="15"/>
      <c r="XBO10" s="15"/>
      <c r="XBP10" s="15"/>
      <c r="XCA10" s="15"/>
      <c r="XCB10" s="15"/>
      <c r="XCC10" s="15"/>
      <c r="XCN10" s="15"/>
      <c r="XCO10" s="15"/>
      <c r="XCP10" s="15"/>
      <c r="XDA10" s="15"/>
      <c r="XDB10" s="15"/>
      <c r="XDC10" s="15"/>
      <c r="XDN10" s="15"/>
      <c r="XDO10" s="15"/>
      <c r="XDP10" s="15"/>
      <c r="XEA10" s="15"/>
      <c r="XEB10" s="15"/>
      <c r="XEC10" s="15"/>
      <c r="XEN10" s="15"/>
      <c r="XEO10" s="15"/>
      <c r="XEP10" s="15"/>
      <c r="XFA10" s="15"/>
      <c r="XFB10" s="15"/>
      <c r="XFC10" s="15"/>
    </row>
    <row r="12" spans="1:1017 1028:2044 2055:3071 3082:5112 5123:6139 6150:7166 7177:9207 9218:10234 10245:11261 11272:12288 12299:13302 13313:14329 14340:15356 15367:16383" s="24" customFormat="1" x14ac:dyDescent="0.25">
      <c r="B12" s="53" t="s">
        <v>117</v>
      </c>
      <c r="C12" s="53"/>
      <c r="D12" s="54">
        <f>D6-D9</f>
        <v>263.37999999999994</v>
      </c>
      <c r="E12" s="54">
        <f t="shared" ref="E12:N12" si="2">E6-E9</f>
        <v>270.27999999999997</v>
      </c>
      <c r="F12" s="54">
        <f t="shared" si="2"/>
        <v>296.02999999999997</v>
      </c>
      <c r="G12" s="54">
        <f t="shared" si="2"/>
        <v>296.56000000000006</v>
      </c>
      <c r="H12" s="54">
        <f t="shared" si="2"/>
        <v>324.26</v>
      </c>
      <c r="I12" s="54">
        <f t="shared" si="2"/>
        <v>312.63000000000011</v>
      </c>
      <c r="J12" s="54">
        <f t="shared" si="2"/>
        <v>402.31999999999994</v>
      </c>
      <c r="K12" s="54">
        <f t="shared" si="2"/>
        <v>467.43999999999994</v>
      </c>
      <c r="L12" s="54">
        <f t="shared" si="2"/>
        <v>365.71000000000004</v>
      </c>
      <c r="M12" s="54">
        <f t="shared" si="2"/>
        <v>330.18</v>
      </c>
      <c r="N12" s="54">
        <f t="shared" si="2"/>
        <v>803.38</v>
      </c>
    </row>
    <row r="13" spans="1:1017 1028:2044 2055:3071 3082:5112 5123:6139 6150:7166 7177:9207 9218:10234 10245:11261 11272:12288 12299:13302 13313:14329 14340:15356 15367:16383" s="16" customFormat="1" x14ac:dyDescent="0.25">
      <c r="A13" s="15"/>
      <c r="B13" s="15" t="s">
        <v>118</v>
      </c>
      <c r="C13" s="15"/>
      <c r="D13" s="16">
        <f>IFERROR(D12/D6,0)</f>
        <v>0.39146267148229064</v>
      </c>
      <c r="E13" s="16">
        <f t="shared" ref="E13:N13" si="3">IFERROR(E12/E6,0)</f>
        <v>0.38513494257459602</v>
      </c>
      <c r="F13" s="16">
        <f t="shared" si="3"/>
        <v>0.38555613441000258</v>
      </c>
      <c r="G13" s="16">
        <f t="shared" si="3"/>
        <v>0.36348482619993144</v>
      </c>
      <c r="H13" s="16">
        <f t="shared" si="3"/>
        <v>0.38209370286576166</v>
      </c>
      <c r="I13" s="16">
        <f t="shared" si="3"/>
        <v>0.33296057256054712</v>
      </c>
      <c r="J13" s="16">
        <f t="shared" si="3"/>
        <v>0.34794039557550438</v>
      </c>
      <c r="K13" s="16">
        <f t="shared" si="3"/>
        <v>0.37506519349429102</v>
      </c>
      <c r="L13" s="16">
        <f t="shared" si="3"/>
        <v>0.36975138261194862</v>
      </c>
      <c r="M13" s="16">
        <f t="shared" si="3"/>
        <v>0.41572340505898797</v>
      </c>
      <c r="N13" s="16">
        <f t="shared" si="3"/>
        <v>1</v>
      </c>
      <c r="O13" s="15"/>
      <c r="P13" s="15"/>
      <c r="AA13" s="15"/>
      <c r="AB13" s="15"/>
      <c r="AC13" s="15"/>
      <c r="AN13" s="15"/>
      <c r="AO13" s="15"/>
      <c r="AP13" s="15"/>
      <c r="BA13" s="15"/>
      <c r="BB13" s="15"/>
      <c r="BC13" s="15"/>
      <c r="BN13" s="15"/>
      <c r="BO13" s="15"/>
      <c r="BP13" s="15"/>
      <c r="CA13" s="15"/>
      <c r="CB13" s="15"/>
      <c r="CC13" s="15"/>
      <c r="CN13" s="15"/>
      <c r="CO13" s="15"/>
      <c r="CP13" s="15"/>
      <c r="DA13" s="15"/>
      <c r="DB13" s="15"/>
      <c r="DC13" s="15"/>
      <c r="DN13" s="15"/>
      <c r="DO13" s="15"/>
      <c r="DP13" s="15"/>
      <c r="EA13" s="15"/>
      <c r="EB13" s="15"/>
      <c r="EC13" s="15"/>
      <c r="EN13" s="15"/>
      <c r="EO13" s="15"/>
      <c r="EP13" s="15"/>
      <c r="FA13" s="15"/>
      <c r="FB13" s="15"/>
      <c r="FC13" s="15"/>
      <c r="FN13" s="15"/>
      <c r="FO13" s="15"/>
      <c r="FP13" s="15"/>
      <c r="GA13" s="15"/>
      <c r="GB13" s="15"/>
      <c r="GC13" s="15"/>
      <c r="GN13" s="15"/>
      <c r="GO13" s="15"/>
      <c r="GP13" s="15"/>
      <c r="HA13" s="15"/>
      <c r="HB13" s="15"/>
      <c r="HC13" s="15"/>
      <c r="HN13" s="15"/>
      <c r="HO13" s="15"/>
      <c r="HP13" s="15"/>
      <c r="IA13" s="15"/>
      <c r="IB13" s="15"/>
      <c r="IC13" s="15"/>
      <c r="IN13" s="15"/>
      <c r="IO13" s="15"/>
      <c r="IP13" s="15"/>
      <c r="JA13" s="15"/>
      <c r="JB13" s="15"/>
      <c r="JC13" s="15"/>
      <c r="JN13" s="15"/>
      <c r="JO13" s="15"/>
      <c r="JP13" s="15"/>
      <c r="KA13" s="15"/>
      <c r="KB13" s="15"/>
      <c r="KC13" s="15"/>
      <c r="KN13" s="15"/>
      <c r="KO13" s="15"/>
      <c r="KP13" s="15"/>
      <c r="LA13" s="15"/>
      <c r="LB13" s="15"/>
      <c r="LC13" s="15"/>
      <c r="LN13" s="15"/>
      <c r="LO13" s="15"/>
      <c r="LP13" s="15"/>
      <c r="MA13" s="15"/>
      <c r="MB13" s="15"/>
      <c r="MC13" s="15"/>
      <c r="MN13" s="15"/>
      <c r="MO13" s="15"/>
      <c r="MP13" s="15"/>
      <c r="NA13" s="15"/>
      <c r="NB13" s="15"/>
      <c r="NC13" s="15"/>
      <c r="NN13" s="15"/>
      <c r="NO13" s="15"/>
      <c r="NP13" s="15"/>
      <c r="OA13" s="15"/>
      <c r="OB13" s="15"/>
      <c r="OC13" s="15"/>
      <c r="ON13" s="15"/>
      <c r="OO13" s="15"/>
      <c r="OP13" s="15"/>
      <c r="PA13" s="15"/>
      <c r="PB13" s="15"/>
      <c r="PC13" s="15"/>
      <c r="PN13" s="15"/>
      <c r="PO13" s="15"/>
      <c r="PP13" s="15"/>
      <c r="QA13" s="15"/>
      <c r="QB13" s="15"/>
      <c r="QC13" s="15"/>
      <c r="QN13" s="15"/>
      <c r="QO13" s="15"/>
      <c r="QP13" s="15"/>
      <c r="RA13" s="15"/>
      <c r="RB13" s="15"/>
      <c r="RC13" s="15"/>
      <c r="RN13" s="15"/>
      <c r="RO13" s="15"/>
      <c r="RP13" s="15"/>
      <c r="SA13" s="15"/>
      <c r="SB13" s="15"/>
      <c r="SC13" s="15"/>
      <c r="SN13" s="15"/>
      <c r="SO13" s="15"/>
      <c r="SP13" s="15"/>
      <c r="TA13" s="15"/>
      <c r="TB13" s="15"/>
      <c r="TC13" s="15"/>
      <c r="TN13" s="15"/>
      <c r="TO13" s="15"/>
      <c r="TP13" s="15"/>
      <c r="UA13" s="15"/>
      <c r="UB13" s="15"/>
      <c r="UC13" s="15"/>
      <c r="UN13" s="15"/>
      <c r="UO13" s="15"/>
      <c r="UP13" s="15"/>
      <c r="VA13" s="15"/>
      <c r="VB13" s="15"/>
      <c r="VC13" s="15"/>
      <c r="VN13" s="15"/>
      <c r="VO13" s="15"/>
      <c r="VP13" s="15"/>
      <c r="WA13" s="15"/>
      <c r="WB13" s="15"/>
      <c r="WC13" s="15"/>
      <c r="WN13" s="15"/>
      <c r="WO13" s="15"/>
      <c r="WP13" s="15"/>
      <c r="XA13" s="15"/>
      <c r="XB13" s="15"/>
      <c r="XC13" s="15"/>
      <c r="XN13" s="15"/>
      <c r="XO13" s="15"/>
      <c r="XP13" s="15"/>
      <c r="YA13" s="15"/>
      <c r="YB13" s="15"/>
      <c r="YC13" s="15"/>
      <c r="YN13" s="15"/>
      <c r="YO13" s="15"/>
      <c r="YP13" s="15"/>
      <c r="ZA13" s="15"/>
      <c r="ZB13" s="15"/>
      <c r="ZC13" s="15"/>
      <c r="ZN13" s="15"/>
      <c r="ZO13" s="15"/>
      <c r="ZP13" s="15"/>
      <c r="AAA13" s="15"/>
      <c r="AAB13" s="15"/>
      <c r="AAC13" s="15"/>
      <c r="AAN13" s="15"/>
      <c r="AAO13" s="15"/>
      <c r="AAP13" s="15"/>
      <c r="ABA13" s="15"/>
      <c r="ABB13" s="15"/>
      <c r="ABC13" s="15"/>
      <c r="ABN13" s="15"/>
      <c r="ABO13" s="15"/>
      <c r="ABP13" s="15"/>
      <c r="ACA13" s="15"/>
      <c r="ACB13" s="15"/>
      <c r="ACC13" s="15"/>
      <c r="ACN13" s="15"/>
      <c r="ACO13" s="15"/>
      <c r="ACP13" s="15"/>
      <c r="ADA13" s="15"/>
      <c r="ADB13" s="15"/>
      <c r="ADC13" s="15"/>
      <c r="ADN13" s="15"/>
      <c r="ADO13" s="15"/>
      <c r="ADP13" s="15"/>
      <c r="AEA13" s="15"/>
      <c r="AEB13" s="15"/>
      <c r="AEC13" s="15"/>
      <c r="AEN13" s="15"/>
      <c r="AEO13" s="15"/>
      <c r="AEP13" s="15"/>
      <c r="AFA13" s="15"/>
      <c r="AFB13" s="15"/>
      <c r="AFC13" s="15"/>
      <c r="AFN13" s="15"/>
      <c r="AFO13" s="15"/>
      <c r="AFP13" s="15"/>
      <c r="AGA13" s="15"/>
      <c r="AGB13" s="15"/>
      <c r="AGC13" s="15"/>
      <c r="AGN13" s="15"/>
      <c r="AGO13" s="15"/>
      <c r="AGP13" s="15"/>
      <c r="AHA13" s="15"/>
      <c r="AHB13" s="15"/>
      <c r="AHC13" s="15"/>
      <c r="AHN13" s="15"/>
      <c r="AHO13" s="15"/>
      <c r="AHP13" s="15"/>
      <c r="AIA13" s="15"/>
      <c r="AIB13" s="15"/>
      <c r="AIC13" s="15"/>
      <c r="AIN13" s="15"/>
      <c r="AIO13" s="15"/>
      <c r="AIP13" s="15"/>
      <c r="AJA13" s="15"/>
      <c r="AJB13" s="15"/>
      <c r="AJC13" s="15"/>
      <c r="AJN13" s="15"/>
      <c r="AJO13" s="15"/>
      <c r="AJP13" s="15"/>
      <c r="AKA13" s="15"/>
      <c r="AKB13" s="15"/>
      <c r="AKC13" s="15"/>
      <c r="AKN13" s="15"/>
      <c r="AKO13" s="15"/>
      <c r="AKP13" s="15"/>
      <c r="ALA13" s="15"/>
      <c r="ALB13" s="15"/>
      <c r="ALC13" s="15"/>
      <c r="ALN13" s="15"/>
      <c r="ALO13" s="15"/>
      <c r="ALP13" s="15"/>
      <c r="AMA13" s="15"/>
      <c r="AMB13" s="15"/>
      <c r="AMC13" s="15"/>
      <c r="AMN13" s="15"/>
      <c r="AMO13" s="15"/>
      <c r="AMP13" s="15"/>
      <c r="ANA13" s="15"/>
      <c r="ANB13" s="15"/>
      <c r="ANC13" s="15"/>
      <c r="ANN13" s="15"/>
      <c r="ANO13" s="15"/>
      <c r="ANP13" s="15"/>
      <c r="AOA13" s="15"/>
      <c r="AOB13" s="15"/>
      <c r="AOC13" s="15"/>
      <c r="AON13" s="15"/>
      <c r="AOO13" s="15"/>
      <c r="AOP13" s="15"/>
      <c r="APA13" s="15"/>
      <c r="APB13" s="15"/>
      <c r="APC13" s="15"/>
      <c r="APN13" s="15"/>
      <c r="APO13" s="15"/>
      <c r="APP13" s="15"/>
      <c r="AQA13" s="15"/>
      <c r="AQB13" s="15"/>
      <c r="AQC13" s="15"/>
      <c r="AQN13" s="15"/>
      <c r="AQO13" s="15"/>
      <c r="AQP13" s="15"/>
      <c r="ARA13" s="15"/>
      <c r="ARB13" s="15"/>
      <c r="ARC13" s="15"/>
      <c r="ARN13" s="15"/>
      <c r="ARO13" s="15"/>
      <c r="ARP13" s="15"/>
      <c r="ASA13" s="15"/>
      <c r="ASB13" s="15"/>
      <c r="ASC13" s="15"/>
      <c r="ASN13" s="15"/>
      <c r="ASO13" s="15"/>
      <c r="ASP13" s="15"/>
      <c r="ATA13" s="15"/>
      <c r="ATB13" s="15"/>
      <c r="ATC13" s="15"/>
      <c r="ATN13" s="15"/>
      <c r="ATO13" s="15"/>
      <c r="ATP13" s="15"/>
      <c r="AUA13" s="15"/>
      <c r="AUB13" s="15"/>
      <c r="AUC13" s="15"/>
      <c r="AUN13" s="15"/>
      <c r="AUO13" s="15"/>
      <c r="AUP13" s="15"/>
      <c r="AVA13" s="15"/>
      <c r="AVB13" s="15"/>
      <c r="AVC13" s="15"/>
      <c r="AVN13" s="15"/>
      <c r="AVO13" s="15"/>
      <c r="AVP13" s="15"/>
      <c r="AWA13" s="15"/>
      <c r="AWB13" s="15"/>
      <c r="AWC13" s="15"/>
      <c r="AWN13" s="15"/>
      <c r="AWO13" s="15"/>
      <c r="AWP13" s="15"/>
      <c r="AXA13" s="15"/>
      <c r="AXB13" s="15"/>
      <c r="AXC13" s="15"/>
      <c r="AXN13" s="15"/>
      <c r="AXO13" s="15"/>
      <c r="AXP13" s="15"/>
      <c r="AYA13" s="15"/>
      <c r="AYB13" s="15"/>
      <c r="AYC13" s="15"/>
      <c r="AYN13" s="15"/>
      <c r="AYO13" s="15"/>
      <c r="AYP13" s="15"/>
      <c r="AZA13" s="15"/>
      <c r="AZB13" s="15"/>
      <c r="AZC13" s="15"/>
      <c r="AZN13" s="15"/>
      <c r="AZO13" s="15"/>
      <c r="AZP13" s="15"/>
      <c r="BAA13" s="15"/>
      <c r="BAB13" s="15"/>
      <c r="BAC13" s="15"/>
      <c r="BAN13" s="15"/>
      <c r="BAO13" s="15"/>
      <c r="BAP13" s="15"/>
      <c r="BBA13" s="15"/>
      <c r="BBB13" s="15"/>
      <c r="BBC13" s="15"/>
      <c r="BBN13" s="15"/>
      <c r="BBO13" s="15"/>
      <c r="BBP13" s="15"/>
      <c r="BCA13" s="15"/>
      <c r="BCB13" s="15"/>
      <c r="BCC13" s="15"/>
      <c r="BCN13" s="15"/>
      <c r="BCO13" s="15"/>
      <c r="BCP13" s="15"/>
      <c r="BDA13" s="15"/>
      <c r="BDB13" s="15"/>
      <c r="BDC13" s="15"/>
      <c r="BDN13" s="15"/>
      <c r="BDO13" s="15"/>
      <c r="BDP13" s="15"/>
      <c r="BEA13" s="15"/>
      <c r="BEB13" s="15"/>
      <c r="BEC13" s="15"/>
      <c r="BEN13" s="15"/>
      <c r="BEO13" s="15"/>
      <c r="BEP13" s="15"/>
      <c r="BFA13" s="15"/>
      <c r="BFB13" s="15"/>
      <c r="BFC13" s="15"/>
      <c r="BFN13" s="15"/>
      <c r="BFO13" s="15"/>
      <c r="BFP13" s="15"/>
      <c r="BGA13" s="15"/>
      <c r="BGB13" s="15"/>
      <c r="BGC13" s="15"/>
      <c r="BGN13" s="15"/>
      <c r="BGO13" s="15"/>
      <c r="BGP13" s="15"/>
      <c r="BHA13" s="15"/>
      <c r="BHB13" s="15"/>
      <c r="BHC13" s="15"/>
      <c r="BHN13" s="15"/>
      <c r="BHO13" s="15"/>
      <c r="BHP13" s="15"/>
      <c r="BIA13" s="15"/>
      <c r="BIB13" s="15"/>
      <c r="BIC13" s="15"/>
      <c r="BIN13" s="15"/>
      <c r="BIO13" s="15"/>
      <c r="BIP13" s="15"/>
      <c r="BJA13" s="15"/>
      <c r="BJB13" s="15"/>
      <c r="BJC13" s="15"/>
      <c r="BJN13" s="15"/>
      <c r="BJO13" s="15"/>
      <c r="BJP13" s="15"/>
      <c r="BKA13" s="15"/>
      <c r="BKB13" s="15"/>
      <c r="BKC13" s="15"/>
      <c r="BKN13" s="15"/>
      <c r="BKO13" s="15"/>
      <c r="BKP13" s="15"/>
      <c r="BLA13" s="15"/>
      <c r="BLB13" s="15"/>
      <c r="BLC13" s="15"/>
      <c r="BLN13" s="15"/>
      <c r="BLO13" s="15"/>
      <c r="BLP13" s="15"/>
      <c r="BMA13" s="15"/>
      <c r="BMB13" s="15"/>
      <c r="BMC13" s="15"/>
      <c r="BMN13" s="15"/>
      <c r="BMO13" s="15"/>
      <c r="BMP13" s="15"/>
      <c r="BNA13" s="15"/>
      <c r="BNB13" s="15"/>
      <c r="BNC13" s="15"/>
      <c r="BNN13" s="15"/>
      <c r="BNO13" s="15"/>
      <c r="BNP13" s="15"/>
      <c r="BOA13" s="15"/>
      <c r="BOB13" s="15"/>
      <c r="BOC13" s="15"/>
      <c r="BON13" s="15"/>
      <c r="BOO13" s="15"/>
      <c r="BOP13" s="15"/>
      <c r="BPA13" s="15"/>
      <c r="BPB13" s="15"/>
      <c r="BPC13" s="15"/>
      <c r="BPN13" s="15"/>
      <c r="BPO13" s="15"/>
      <c r="BPP13" s="15"/>
      <c r="BQA13" s="15"/>
      <c r="BQB13" s="15"/>
      <c r="BQC13" s="15"/>
      <c r="BQN13" s="15"/>
      <c r="BQO13" s="15"/>
      <c r="BQP13" s="15"/>
      <c r="BRA13" s="15"/>
      <c r="BRB13" s="15"/>
      <c r="BRC13" s="15"/>
      <c r="BRN13" s="15"/>
      <c r="BRO13" s="15"/>
      <c r="BRP13" s="15"/>
      <c r="BSA13" s="15"/>
      <c r="BSB13" s="15"/>
      <c r="BSC13" s="15"/>
      <c r="BSN13" s="15"/>
      <c r="BSO13" s="15"/>
      <c r="BSP13" s="15"/>
      <c r="BTA13" s="15"/>
      <c r="BTB13" s="15"/>
      <c r="BTC13" s="15"/>
      <c r="BTN13" s="15"/>
      <c r="BTO13" s="15"/>
      <c r="BTP13" s="15"/>
      <c r="BUA13" s="15"/>
      <c r="BUB13" s="15"/>
      <c r="BUC13" s="15"/>
      <c r="BUN13" s="15"/>
      <c r="BUO13" s="15"/>
      <c r="BUP13" s="15"/>
      <c r="BVA13" s="15"/>
      <c r="BVB13" s="15"/>
      <c r="BVC13" s="15"/>
      <c r="BVN13" s="15"/>
      <c r="BVO13" s="15"/>
      <c r="BVP13" s="15"/>
      <c r="BWA13" s="15"/>
      <c r="BWB13" s="15"/>
      <c r="BWC13" s="15"/>
      <c r="BWN13" s="15"/>
      <c r="BWO13" s="15"/>
      <c r="BWP13" s="15"/>
      <c r="BXA13" s="15"/>
      <c r="BXB13" s="15"/>
      <c r="BXC13" s="15"/>
      <c r="BXN13" s="15"/>
      <c r="BXO13" s="15"/>
      <c r="BXP13" s="15"/>
      <c r="BYA13" s="15"/>
      <c r="BYB13" s="15"/>
      <c r="BYC13" s="15"/>
      <c r="BYN13" s="15"/>
      <c r="BYO13" s="15"/>
      <c r="BYP13" s="15"/>
      <c r="BZA13" s="15"/>
      <c r="BZB13" s="15"/>
      <c r="BZC13" s="15"/>
      <c r="BZN13" s="15"/>
      <c r="BZO13" s="15"/>
      <c r="BZP13" s="15"/>
      <c r="CAA13" s="15"/>
      <c r="CAB13" s="15"/>
      <c r="CAC13" s="15"/>
      <c r="CAN13" s="15"/>
      <c r="CAO13" s="15"/>
      <c r="CAP13" s="15"/>
      <c r="CBA13" s="15"/>
      <c r="CBB13" s="15"/>
      <c r="CBC13" s="15"/>
      <c r="CBN13" s="15"/>
      <c r="CBO13" s="15"/>
      <c r="CBP13" s="15"/>
      <c r="CCA13" s="15"/>
      <c r="CCB13" s="15"/>
      <c r="CCC13" s="15"/>
      <c r="CCN13" s="15"/>
      <c r="CCO13" s="15"/>
      <c r="CCP13" s="15"/>
      <c r="CDA13" s="15"/>
      <c r="CDB13" s="15"/>
      <c r="CDC13" s="15"/>
      <c r="CDN13" s="15"/>
      <c r="CDO13" s="15"/>
      <c r="CDP13" s="15"/>
      <c r="CEA13" s="15"/>
      <c r="CEB13" s="15"/>
      <c r="CEC13" s="15"/>
      <c r="CEN13" s="15"/>
      <c r="CEO13" s="15"/>
      <c r="CEP13" s="15"/>
      <c r="CFA13" s="15"/>
      <c r="CFB13" s="15"/>
      <c r="CFC13" s="15"/>
      <c r="CFN13" s="15"/>
      <c r="CFO13" s="15"/>
      <c r="CFP13" s="15"/>
      <c r="CGA13" s="15"/>
      <c r="CGB13" s="15"/>
      <c r="CGC13" s="15"/>
      <c r="CGN13" s="15"/>
      <c r="CGO13" s="15"/>
      <c r="CGP13" s="15"/>
      <c r="CHA13" s="15"/>
      <c r="CHB13" s="15"/>
      <c r="CHC13" s="15"/>
      <c r="CHN13" s="15"/>
      <c r="CHO13" s="15"/>
      <c r="CHP13" s="15"/>
      <c r="CIA13" s="15"/>
      <c r="CIB13" s="15"/>
      <c r="CIC13" s="15"/>
      <c r="CIN13" s="15"/>
      <c r="CIO13" s="15"/>
      <c r="CIP13" s="15"/>
      <c r="CJA13" s="15"/>
      <c r="CJB13" s="15"/>
      <c r="CJC13" s="15"/>
      <c r="CJN13" s="15"/>
      <c r="CJO13" s="15"/>
      <c r="CJP13" s="15"/>
      <c r="CKA13" s="15"/>
      <c r="CKB13" s="15"/>
      <c r="CKC13" s="15"/>
      <c r="CKN13" s="15"/>
      <c r="CKO13" s="15"/>
      <c r="CKP13" s="15"/>
      <c r="CLA13" s="15"/>
      <c r="CLB13" s="15"/>
      <c r="CLC13" s="15"/>
      <c r="CLN13" s="15"/>
      <c r="CLO13" s="15"/>
      <c r="CLP13" s="15"/>
      <c r="CMA13" s="15"/>
      <c r="CMB13" s="15"/>
      <c r="CMC13" s="15"/>
      <c r="CMN13" s="15"/>
      <c r="CMO13" s="15"/>
      <c r="CMP13" s="15"/>
      <c r="CNA13" s="15"/>
      <c r="CNB13" s="15"/>
      <c r="CNC13" s="15"/>
      <c r="CNN13" s="15"/>
      <c r="CNO13" s="15"/>
      <c r="CNP13" s="15"/>
      <c r="COA13" s="15"/>
      <c r="COB13" s="15"/>
      <c r="COC13" s="15"/>
      <c r="CON13" s="15"/>
      <c r="COO13" s="15"/>
      <c r="COP13" s="15"/>
      <c r="CPA13" s="15"/>
      <c r="CPB13" s="15"/>
      <c r="CPC13" s="15"/>
      <c r="CPN13" s="15"/>
      <c r="CPO13" s="15"/>
      <c r="CPP13" s="15"/>
      <c r="CQA13" s="15"/>
      <c r="CQB13" s="15"/>
      <c r="CQC13" s="15"/>
      <c r="CQN13" s="15"/>
      <c r="CQO13" s="15"/>
      <c r="CQP13" s="15"/>
      <c r="CRA13" s="15"/>
      <c r="CRB13" s="15"/>
      <c r="CRC13" s="15"/>
      <c r="CRN13" s="15"/>
      <c r="CRO13" s="15"/>
      <c r="CRP13" s="15"/>
      <c r="CSA13" s="15"/>
      <c r="CSB13" s="15"/>
      <c r="CSC13" s="15"/>
      <c r="CSN13" s="15"/>
      <c r="CSO13" s="15"/>
      <c r="CSP13" s="15"/>
      <c r="CTA13" s="15"/>
      <c r="CTB13" s="15"/>
      <c r="CTC13" s="15"/>
      <c r="CTN13" s="15"/>
      <c r="CTO13" s="15"/>
      <c r="CTP13" s="15"/>
      <c r="CUA13" s="15"/>
      <c r="CUB13" s="15"/>
      <c r="CUC13" s="15"/>
      <c r="CUN13" s="15"/>
      <c r="CUO13" s="15"/>
      <c r="CUP13" s="15"/>
      <c r="CVA13" s="15"/>
      <c r="CVB13" s="15"/>
      <c r="CVC13" s="15"/>
      <c r="CVN13" s="15"/>
      <c r="CVO13" s="15"/>
      <c r="CVP13" s="15"/>
      <c r="CWA13" s="15"/>
      <c r="CWB13" s="15"/>
      <c r="CWC13" s="15"/>
      <c r="CWN13" s="15"/>
      <c r="CWO13" s="15"/>
      <c r="CWP13" s="15"/>
      <c r="CXA13" s="15"/>
      <c r="CXB13" s="15"/>
      <c r="CXC13" s="15"/>
      <c r="CXN13" s="15"/>
      <c r="CXO13" s="15"/>
      <c r="CXP13" s="15"/>
      <c r="CYA13" s="15"/>
      <c r="CYB13" s="15"/>
      <c r="CYC13" s="15"/>
      <c r="CYN13" s="15"/>
      <c r="CYO13" s="15"/>
      <c r="CYP13" s="15"/>
      <c r="CZA13" s="15"/>
      <c r="CZB13" s="15"/>
      <c r="CZC13" s="15"/>
      <c r="CZN13" s="15"/>
      <c r="CZO13" s="15"/>
      <c r="CZP13" s="15"/>
      <c r="DAA13" s="15"/>
      <c r="DAB13" s="15"/>
      <c r="DAC13" s="15"/>
      <c r="DAN13" s="15"/>
      <c r="DAO13" s="15"/>
      <c r="DAP13" s="15"/>
      <c r="DBA13" s="15"/>
      <c r="DBB13" s="15"/>
      <c r="DBC13" s="15"/>
      <c r="DBN13" s="15"/>
      <c r="DBO13" s="15"/>
      <c r="DBP13" s="15"/>
      <c r="DCA13" s="15"/>
      <c r="DCB13" s="15"/>
      <c r="DCC13" s="15"/>
      <c r="DCN13" s="15"/>
      <c r="DCO13" s="15"/>
      <c r="DCP13" s="15"/>
      <c r="DDA13" s="15"/>
      <c r="DDB13" s="15"/>
      <c r="DDC13" s="15"/>
      <c r="DDN13" s="15"/>
      <c r="DDO13" s="15"/>
      <c r="DDP13" s="15"/>
      <c r="DEA13" s="15"/>
      <c r="DEB13" s="15"/>
      <c r="DEC13" s="15"/>
      <c r="DEN13" s="15"/>
      <c r="DEO13" s="15"/>
      <c r="DEP13" s="15"/>
      <c r="DFA13" s="15"/>
      <c r="DFB13" s="15"/>
      <c r="DFC13" s="15"/>
      <c r="DFN13" s="15"/>
      <c r="DFO13" s="15"/>
      <c r="DFP13" s="15"/>
      <c r="DGA13" s="15"/>
      <c r="DGB13" s="15"/>
      <c r="DGC13" s="15"/>
      <c r="DGN13" s="15"/>
      <c r="DGO13" s="15"/>
      <c r="DGP13" s="15"/>
      <c r="DHA13" s="15"/>
      <c r="DHB13" s="15"/>
      <c r="DHC13" s="15"/>
      <c r="DHN13" s="15"/>
      <c r="DHO13" s="15"/>
      <c r="DHP13" s="15"/>
      <c r="DIA13" s="15"/>
      <c r="DIB13" s="15"/>
      <c r="DIC13" s="15"/>
      <c r="DIN13" s="15"/>
      <c r="DIO13" s="15"/>
      <c r="DIP13" s="15"/>
      <c r="DJA13" s="15"/>
      <c r="DJB13" s="15"/>
      <c r="DJC13" s="15"/>
      <c r="DJN13" s="15"/>
      <c r="DJO13" s="15"/>
      <c r="DJP13" s="15"/>
      <c r="DKA13" s="15"/>
      <c r="DKB13" s="15"/>
      <c r="DKC13" s="15"/>
      <c r="DKN13" s="15"/>
      <c r="DKO13" s="15"/>
      <c r="DKP13" s="15"/>
      <c r="DLA13" s="15"/>
      <c r="DLB13" s="15"/>
      <c r="DLC13" s="15"/>
      <c r="DLN13" s="15"/>
      <c r="DLO13" s="15"/>
      <c r="DLP13" s="15"/>
      <c r="DMA13" s="15"/>
      <c r="DMB13" s="15"/>
      <c r="DMC13" s="15"/>
      <c r="DMN13" s="15"/>
      <c r="DMO13" s="15"/>
      <c r="DMP13" s="15"/>
      <c r="DNA13" s="15"/>
      <c r="DNB13" s="15"/>
      <c r="DNC13" s="15"/>
      <c r="DNN13" s="15"/>
      <c r="DNO13" s="15"/>
      <c r="DNP13" s="15"/>
      <c r="DOA13" s="15"/>
      <c r="DOB13" s="15"/>
      <c r="DOC13" s="15"/>
      <c r="DON13" s="15"/>
      <c r="DOO13" s="15"/>
      <c r="DOP13" s="15"/>
      <c r="DPA13" s="15"/>
      <c r="DPB13" s="15"/>
      <c r="DPC13" s="15"/>
      <c r="DPN13" s="15"/>
      <c r="DPO13" s="15"/>
      <c r="DPP13" s="15"/>
      <c r="DQA13" s="15"/>
      <c r="DQB13" s="15"/>
      <c r="DQC13" s="15"/>
      <c r="DQN13" s="15"/>
      <c r="DQO13" s="15"/>
      <c r="DQP13" s="15"/>
      <c r="DRA13" s="15"/>
      <c r="DRB13" s="15"/>
      <c r="DRC13" s="15"/>
      <c r="DRN13" s="15"/>
      <c r="DRO13" s="15"/>
      <c r="DRP13" s="15"/>
      <c r="DSA13" s="15"/>
      <c r="DSB13" s="15"/>
      <c r="DSC13" s="15"/>
      <c r="DSN13" s="15"/>
      <c r="DSO13" s="15"/>
      <c r="DSP13" s="15"/>
      <c r="DTA13" s="15"/>
      <c r="DTB13" s="15"/>
      <c r="DTC13" s="15"/>
      <c r="DTN13" s="15"/>
      <c r="DTO13" s="15"/>
      <c r="DTP13" s="15"/>
      <c r="DUA13" s="15"/>
      <c r="DUB13" s="15"/>
      <c r="DUC13" s="15"/>
      <c r="DUN13" s="15"/>
      <c r="DUO13" s="15"/>
      <c r="DUP13" s="15"/>
      <c r="DVA13" s="15"/>
      <c r="DVB13" s="15"/>
      <c r="DVC13" s="15"/>
      <c r="DVN13" s="15"/>
      <c r="DVO13" s="15"/>
      <c r="DVP13" s="15"/>
      <c r="DWA13" s="15"/>
      <c r="DWB13" s="15"/>
      <c r="DWC13" s="15"/>
      <c r="DWN13" s="15"/>
      <c r="DWO13" s="15"/>
      <c r="DWP13" s="15"/>
      <c r="DXA13" s="15"/>
      <c r="DXB13" s="15"/>
      <c r="DXC13" s="15"/>
      <c r="DXN13" s="15"/>
      <c r="DXO13" s="15"/>
      <c r="DXP13" s="15"/>
      <c r="DYA13" s="15"/>
      <c r="DYB13" s="15"/>
      <c r="DYC13" s="15"/>
      <c r="DYN13" s="15"/>
      <c r="DYO13" s="15"/>
      <c r="DYP13" s="15"/>
      <c r="DZA13" s="15"/>
      <c r="DZB13" s="15"/>
      <c r="DZC13" s="15"/>
      <c r="DZN13" s="15"/>
      <c r="DZO13" s="15"/>
      <c r="DZP13" s="15"/>
      <c r="EAA13" s="15"/>
      <c r="EAB13" s="15"/>
      <c r="EAC13" s="15"/>
      <c r="EAN13" s="15"/>
      <c r="EAO13" s="15"/>
      <c r="EAP13" s="15"/>
      <c r="EBA13" s="15"/>
      <c r="EBB13" s="15"/>
      <c r="EBC13" s="15"/>
      <c r="EBN13" s="15"/>
      <c r="EBO13" s="15"/>
      <c r="EBP13" s="15"/>
      <c r="ECA13" s="15"/>
      <c r="ECB13" s="15"/>
      <c r="ECC13" s="15"/>
      <c r="ECN13" s="15"/>
      <c r="ECO13" s="15"/>
      <c r="ECP13" s="15"/>
      <c r="EDA13" s="15"/>
      <c r="EDB13" s="15"/>
      <c r="EDC13" s="15"/>
      <c r="EDN13" s="15"/>
      <c r="EDO13" s="15"/>
      <c r="EDP13" s="15"/>
      <c r="EEA13" s="15"/>
      <c r="EEB13" s="15"/>
      <c r="EEC13" s="15"/>
      <c r="EEN13" s="15"/>
      <c r="EEO13" s="15"/>
      <c r="EEP13" s="15"/>
      <c r="EFA13" s="15"/>
      <c r="EFB13" s="15"/>
      <c r="EFC13" s="15"/>
      <c r="EFN13" s="15"/>
      <c r="EFO13" s="15"/>
      <c r="EFP13" s="15"/>
      <c r="EGA13" s="15"/>
      <c r="EGB13" s="15"/>
      <c r="EGC13" s="15"/>
      <c r="EGN13" s="15"/>
      <c r="EGO13" s="15"/>
      <c r="EGP13" s="15"/>
      <c r="EHA13" s="15"/>
      <c r="EHB13" s="15"/>
      <c r="EHC13" s="15"/>
      <c r="EHN13" s="15"/>
      <c r="EHO13" s="15"/>
      <c r="EHP13" s="15"/>
      <c r="EIA13" s="15"/>
      <c r="EIB13" s="15"/>
      <c r="EIC13" s="15"/>
      <c r="EIN13" s="15"/>
      <c r="EIO13" s="15"/>
      <c r="EIP13" s="15"/>
      <c r="EJA13" s="15"/>
      <c r="EJB13" s="15"/>
      <c r="EJC13" s="15"/>
      <c r="EJN13" s="15"/>
      <c r="EJO13" s="15"/>
      <c r="EJP13" s="15"/>
      <c r="EKA13" s="15"/>
      <c r="EKB13" s="15"/>
      <c r="EKC13" s="15"/>
      <c r="EKN13" s="15"/>
      <c r="EKO13" s="15"/>
      <c r="EKP13" s="15"/>
      <c r="ELA13" s="15"/>
      <c r="ELB13" s="15"/>
      <c r="ELC13" s="15"/>
      <c r="ELN13" s="15"/>
      <c r="ELO13" s="15"/>
      <c r="ELP13" s="15"/>
      <c r="EMA13" s="15"/>
      <c r="EMB13" s="15"/>
      <c r="EMC13" s="15"/>
      <c r="EMN13" s="15"/>
      <c r="EMO13" s="15"/>
      <c r="EMP13" s="15"/>
      <c r="ENA13" s="15"/>
      <c r="ENB13" s="15"/>
      <c r="ENC13" s="15"/>
      <c r="ENN13" s="15"/>
      <c r="ENO13" s="15"/>
      <c r="ENP13" s="15"/>
      <c r="EOA13" s="15"/>
      <c r="EOB13" s="15"/>
      <c r="EOC13" s="15"/>
      <c r="EON13" s="15"/>
      <c r="EOO13" s="15"/>
      <c r="EOP13" s="15"/>
      <c r="EPA13" s="15"/>
      <c r="EPB13" s="15"/>
      <c r="EPC13" s="15"/>
      <c r="EPN13" s="15"/>
      <c r="EPO13" s="15"/>
      <c r="EPP13" s="15"/>
      <c r="EQA13" s="15"/>
      <c r="EQB13" s="15"/>
      <c r="EQC13" s="15"/>
      <c r="EQN13" s="15"/>
      <c r="EQO13" s="15"/>
      <c r="EQP13" s="15"/>
      <c r="ERA13" s="15"/>
      <c r="ERB13" s="15"/>
      <c r="ERC13" s="15"/>
      <c r="ERN13" s="15"/>
      <c r="ERO13" s="15"/>
      <c r="ERP13" s="15"/>
      <c r="ESA13" s="15"/>
      <c r="ESB13" s="15"/>
      <c r="ESC13" s="15"/>
      <c r="ESN13" s="15"/>
      <c r="ESO13" s="15"/>
      <c r="ESP13" s="15"/>
      <c r="ETA13" s="15"/>
      <c r="ETB13" s="15"/>
      <c r="ETC13" s="15"/>
      <c r="ETN13" s="15"/>
      <c r="ETO13" s="15"/>
      <c r="ETP13" s="15"/>
      <c r="EUA13" s="15"/>
      <c r="EUB13" s="15"/>
      <c r="EUC13" s="15"/>
      <c r="EUN13" s="15"/>
      <c r="EUO13" s="15"/>
      <c r="EUP13" s="15"/>
      <c r="EVA13" s="15"/>
      <c r="EVB13" s="15"/>
      <c r="EVC13" s="15"/>
      <c r="EVN13" s="15"/>
      <c r="EVO13" s="15"/>
      <c r="EVP13" s="15"/>
      <c r="EWA13" s="15"/>
      <c r="EWB13" s="15"/>
      <c r="EWC13" s="15"/>
      <c r="EWN13" s="15"/>
      <c r="EWO13" s="15"/>
      <c r="EWP13" s="15"/>
      <c r="EXA13" s="15"/>
      <c r="EXB13" s="15"/>
      <c r="EXC13" s="15"/>
      <c r="EXN13" s="15"/>
      <c r="EXO13" s="15"/>
      <c r="EXP13" s="15"/>
      <c r="EYA13" s="15"/>
      <c r="EYB13" s="15"/>
      <c r="EYC13" s="15"/>
      <c r="EYN13" s="15"/>
      <c r="EYO13" s="15"/>
      <c r="EYP13" s="15"/>
      <c r="EZA13" s="15"/>
      <c r="EZB13" s="15"/>
      <c r="EZC13" s="15"/>
      <c r="EZN13" s="15"/>
      <c r="EZO13" s="15"/>
      <c r="EZP13" s="15"/>
      <c r="FAA13" s="15"/>
      <c r="FAB13" s="15"/>
      <c r="FAC13" s="15"/>
      <c r="FAN13" s="15"/>
      <c r="FAO13" s="15"/>
      <c r="FAP13" s="15"/>
      <c r="FBA13" s="15"/>
      <c r="FBB13" s="15"/>
      <c r="FBC13" s="15"/>
      <c r="FBN13" s="15"/>
      <c r="FBO13" s="15"/>
      <c r="FBP13" s="15"/>
      <c r="FCA13" s="15"/>
      <c r="FCB13" s="15"/>
      <c r="FCC13" s="15"/>
      <c r="FCN13" s="15"/>
      <c r="FCO13" s="15"/>
      <c r="FCP13" s="15"/>
      <c r="FDA13" s="15"/>
      <c r="FDB13" s="15"/>
      <c r="FDC13" s="15"/>
      <c r="FDN13" s="15"/>
      <c r="FDO13" s="15"/>
      <c r="FDP13" s="15"/>
      <c r="FEA13" s="15"/>
      <c r="FEB13" s="15"/>
      <c r="FEC13" s="15"/>
      <c r="FEN13" s="15"/>
      <c r="FEO13" s="15"/>
      <c r="FEP13" s="15"/>
      <c r="FFA13" s="15"/>
      <c r="FFB13" s="15"/>
      <c r="FFC13" s="15"/>
      <c r="FFN13" s="15"/>
      <c r="FFO13" s="15"/>
      <c r="FFP13" s="15"/>
      <c r="FGA13" s="15"/>
      <c r="FGB13" s="15"/>
      <c r="FGC13" s="15"/>
      <c r="FGN13" s="15"/>
      <c r="FGO13" s="15"/>
      <c r="FGP13" s="15"/>
      <c r="FHA13" s="15"/>
      <c r="FHB13" s="15"/>
      <c r="FHC13" s="15"/>
      <c r="FHN13" s="15"/>
      <c r="FHO13" s="15"/>
      <c r="FHP13" s="15"/>
      <c r="FIA13" s="15"/>
      <c r="FIB13" s="15"/>
      <c r="FIC13" s="15"/>
      <c r="FIN13" s="15"/>
      <c r="FIO13" s="15"/>
      <c r="FIP13" s="15"/>
      <c r="FJA13" s="15"/>
      <c r="FJB13" s="15"/>
      <c r="FJC13" s="15"/>
      <c r="FJN13" s="15"/>
      <c r="FJO13" s="15"/>
      <c r="FJP13" s="15"/>
      <c r="FKA13" s="15"/>
      <c r="FKB13" s="15"/>
      <c r="FKC13" s="15"/>
      <c r="FKN13" s="15"/>
      <c r="FKO13" s="15"/>
      <c r="FKP13" s="15"/>
      <c r="FLA13" s="15"/>
      <c r="FLB13" s="15"/>
      <c r="FLC13" s="15"/>
      <c r="FLN13" s="15"/>
      <c r="FLO13" s="15"/>
      <c r="FLP13" s="15"/>
      <c r="FMA13" s="15"/>
      <c r="FMB13" s="15"/>
      <c r="FMC13" s="15"/>
      <c r="FMN13" s="15"/>
      <c r="FMO13" s="15"/>
      <c r="FMP13" s="15"/>
      <c r="FNA13" s="15"/>
      <c r="FNB13" s="15"/>
      <c r="FNC13" s="15"/>
      <c r="FNN13" s="15"/>
      <c r="FNO13" s="15"/>
      <c r="FNP13" s="15"/>
      <c r="FOA13" s="15"/>
      <c r="FOB13" s="15"/>
      <c r="FOC13" s="15"/>
      <c r="FON13" s="15"/>
      <c r="FOO13" s="15"/>
      <c r="FOP13" s="15"/>
      <c r="FPA13" s="15"/>
      <c r="FPB13" s="15"/>
      <c r="FPC13" s="15"/>
      <c r="FPN13" s="15"/>
      <c r="FPO13" s="15"/>
      <c r="FPP13" s="15"/>
      <c r="FQA13" s="15"/>
      <c r="FQB13" s="15"/>
      <c r="FQC13" s="15"/>
      <c r="FQN13" s="15"/>
      <c r="FQO13" s="15"/>
      <c r="FQP13" s="15"/>
      <c r="FRA13" s="15"/>
      <c r="FRB13" s="15"/>
      <c r="FRC13" s="15"/>
      <c r="FRN13" s="15"/>
      <c r="FRO13" s="15"/>
      <c r="FRP13" s="15"/>
      <c r="FSA13" s="15"/>
      <c r="FSB13" s="15"/>
      <c r="FSC13" s="15"/>
      <c r="FSN13" s="15"/>
      <c r="FSO13" s="15"/>
      <c r="FSP13" s="15"/>
      <c r="FTA13" s="15"/>
      <c r="FTB13" s="15"/>
      <c r="FTC13" s="15"/>
      <c r="FTN13" s="15"/>
      <c r="FTO13" s="15"/>
      <c r="FTP13" s="15"/>
      <c r="FUA13" s="15"/>
      <c r="FUB13" s="15"/>
      <c r="FUC13" s="15"/>
      <c r="FUN13" s="15"/>
      <c r="FUO13" s="15"/>
      <c r="FUP13" s="15"/>
      <c r="FVA13" s="15"/>
      <c r="FVB13" s="15"/>
      <c r="FVC13" s="15"/>
      <c r="FVN13" s="15"/>
      <c r="FVO13" s="15"/>
      <c r="FVP13" s="15"/>
      <c r="FWA13" s="15"/>
      <c r="FWB13" s="15"/>
      <c r="FWC13" s="15"/>
      <c r="FWN13" s="15"/>
      <c r="FWO13" s="15"/>
      <c r="FWP13" s="15"/>
      <c r="FXA13" s="15"/>
      <c r="FXB13" s="15"/>
      <c r="FXC13" s="15"/>
      <c r="FXN13" s="15"/>
      <c r="FXO13" s="15"/>
      <c r="FXP13" s="15"/>
      <c r="FYA13" s="15"/>
      <c r="FYB13" s="15"/>
      <c r="FYC13" s="15"/>
      <c r="FYN13" s="15"/>
      <c r="FYO13" s="15"/>
      <c r="FYP13" s="15"/>
      <c r="FZA13" s="15"/>
      <c r="FZB13" s="15"/>
      <c r="FZC13" s="15"/>
      <c r="FZN13" s="15"/>
      <c r="FZO13" s="15"/>
      <c r="FZP13" s="15"/>
      <c r="GAA13" s="15"/>
      <c r="GAB13" s="15"/>
      <c r="GAC13" s="15"/>
      <c r="GAN13" s="15"/>
      <c r="GAO13" s="15"/>
      <c r="GAP13" s="15"/>
      <c r="GBA13" s="15"/>
      <c r="GBB13" s="15"/>
      <c r="GBC13" s="15"/>
      <c r="GBN13" s="15"/>
      <c r="GBO13" s="15"/>
      <c r="GBP13" s="15"/>
      <c r="GCA13" s="15"/>
      <c r="GCB13" s="15"/>
      <c r="GCC13" s="15"/>
      <c r="GCN13" s="15"/>
      <c r="GCO13" s="15"/>
      <c r="GCP13" s="15"/>
      <c r="GDA13" s="15"/>
      <c r="GDB13" s="15"/>
      <c r="GDC13" s="15"/>
      <c r="GDN13" s="15"/>
      <c r="GDO13" s="15"/>
      <c r="GDP13" s="15"/>
      <c r="GEA13" s="15"/>
      <c r="GEB13" s="15"/>
      <c r="GEC13" s="15"/>
      <c r="GEN13" s="15"/>
      <c r="GEO13" s="15"/>
      <c r="GEP13" s="15"/>
      <c r="GFA13" s="15"/>
      <c r="GFB13" s="15"/>
      <c r="GFC13" s="15"/>
      <c r="GFN13" s="15"/>
      <c r="GFO13" s="15"/>
      <c r="GFP13" s="15"/>
      <c r="GGA13" s="15"/>
      <c r="GGB13" s="15"/>
      <c r="GGC13" s="15"/>
      <c r="GGN13" s="15"/>
      <c r="GGO13" s="15"/>
      <c r="GGP13" s="15"/>
      <c r="GHA13" s="15"/>
      <c r="GHB13" s="15"/>
      <c r="GHC13" s="15"/>
      <c r="GHN13" s="15"/>
      <c r="GHO13" s="15"/>
      <c r="GHP13" s="15"/>
      <c r="GIA13" s="15"/>
      <c r="GIB13" s="15"/>
      <c r="GIC13" s="15"/>
      <c r="GIN13" s="15"/>
      <c r="GIO13" s="15"/>
      <c r="GIP13" s="15"/>
      <c r="GJA13" s="15"/>
      <c r="GJB13" s="15"/>
      <c r="GJC13" s="15"/>
      <c r="GJN13" s="15"/>
      <c r="GJO13" s="15"/>
      <c r="GJP13" s="15"/>
      <c r="GKA13" s="15"/>
      <c r="GKB13" s="15"/>
      <c r="GKC13" s="15"/>
      <c r="GKN13" s="15"/>
      <c r="GKO13" s="15"/>
      <c r="GKP13" s="15"/>
      <c r="GLA13" s="15"/>
      <c r="GLB13" s="15"/>
      <c r="GLC13" s="15"/>
      <c r="GLN13" s="15"/>
      <c r="GLO13" s="15"/>
      <c r="GLP13" s="15"/>
      <c r="GMA13" s="15"/>
      <c r="GMB13" s="15"/>
      <c r="GMC13" s="15"/>
      <c r="GMN13" s="15"/>
      <c r="GMO13" s="15"/>
      <c r="GMP13" s="15"/>
      <c r="GNA13" s="15"/>
      <c r="GNB13" s="15"/>
      <c r="GNC13" s="15"/>
      <c r="GNN13" s="15"/>
      <c r="GNO13" s="15"/>
      <c r="GNP13" s="15"/>
      <c r="GOA13" s="15"/>
      <c r="GOB13" s="15"/>
      <c r="GOC13" s="15"/>
      <c r="GON13" s="15"/>
      <c r="GOO13" s="15"/>
      <c r="GOP13" s="15"/>
      <c r="GPA13" s="15"/>
      <c r="GPB13" s="15"/>
      <c r="GPC13" s="15"/>
      <c r="GPN13" s="15"/>
      <c r="GPO13" s="15"/>
      <c r="GPP13" s="15"/>
      <c r="GQA13" s="15"/>
      <c r="GQB13" s="15"/>
      <c r="GQC13" s="15"/>
      <c r="GQN13" s="15"/>
      <c r="GQO13" s="15"/>
      <c r="GQP13" s="15"/>
      <c r="GRA13" s="15"/>
      <c r="GRB13" s="15"/>
      <c r="GRC13" s="15"/>
      <c r="GRN13" s="15"/>
      <c r="GRO13" s="15"/>
      <c r="GRP13" s="15"/>
      <c r="GSA13" s="15"/>
      <c r="GSB13" s="15"/>
      <c r="GSC13" s="15"/>
      <c r="GSN13" s="15"/>
      <c r="GSO13" s="15"/>
      <c r="GSP13" s="15"/>
      <c r="GTA13" s="15"/>
      <c r="GTB13" s="15"/>
      <c r="GTC13" s="15"/>
      <c r="GTN13" s="15"/>
      <c r="GTO13" s="15"/>
      <c r="GTP13" s="15"/>
      <c r="GUA13" s="15"/>
      <c r="GUB13" s="15"/>
      <c r="GUC13" s="15"/>
      <c r="GUN13" s="15"/>
      <c r="GUO13" s="15"/>
      <c r="GUP13" s="15"/>
      <c r="GVA13" s="15"/>
      <c r="GVB13" s="15"/>
      <c r="GVC13" s="15"/>
      <c r="GVN13" s="15"/>
      <c r="GVO13" s="15"/>
      <c r="GVP13" s="15"/>
      <c r="GWA13" s="15"/>
      <c r="GWB13" s="15"/>
      <c r="GWC13" s="15"/>
      <c r="GWN13" s="15"/>
      <c r="GWO13" s="15"/>
      <c r="GWP13" s="15"/>
      <c r="GXA13" s="15"/>
      <c r="GXB13" s="15"/>
      <c r="GXC13" s="15"/>
      <c r="GXN13" s="15"/>
      <c r="GXO13" s="15"/>
      <c r="GXP13" s="15"/>
      <c r="GYA13" s="15"/>
      <c r="GYB13" s="15"/>
      <c r="GYC13" s="15"/>
      <c r="GYN13" s="15"/>
      <c r="GYO13" s="15"/>
      <c r="GYP13" s="15"/>
      <c r="GZA13" s="15"/>
      <c r="GZB13" s="15"/>
      <c r="GZC13" s="15"/>
      <c r="GZN13" s="15"/>
      <c r="GZO13" s="15"/>
      <c r="GZP13" s="15"/>
      <c r="HAA13" s="15"/>
      <c r="HAB13" s="15"/>
      <c r="HAC13" s="15"/>
      <c r="HAN13" s="15"/>
      <c r="HAO13" s="15"/>
      <c r="HAP13" s="15"/>
      <c r="HBA13" s="15"/>
      <c r="HBB13" s="15"/>
      <c r="HBC13" s="15"/>
      <c r="HBN13" s="15"/>
      <c r="HBO13" s="15"/>
      <c r="HBP13" s="15"/>
      <c r="HCA13" s="15"/>
      <c r="HCB13" s="15"/>
      <c r="HCC13" s="15"/>
      <c r="HCN13" s="15"/>
      <c r="HCO13" s="15"/>
      <c r="HCP13" s="15"/>
      <c r="HDA13" s="15"/>
      <c r="HDB13" s="15"/>
      <c r="HDC13" s="15"/>
      <c r="HDN13" s="15"/>
      <c r="HDO13" s="15"/>
      <c r="HDP13" s="15"/>
      <c r="HEA13" s="15"/>
      <c r="HEB13" s="15"/>
      <c r="HEC13" s="15"/>
      <c r="HEN13" s="15"/>
      <c r="HEO13" s="15"/>
      <c r="HEP13" s="15"/>
      <c r="HFA13" s="15"/>
      <c r="HFB13" s="15"/>
      <c r="HFC13" s="15"/>
      <c r="HFN13" s="15"/>
      <c r="HFO13" s="15"/>
      <c r="HFP13" s="15"/>
      <c r="HGA13" s="15"/>
      <c r="HGB13" s="15"/>
      <c r="HGC13" s="15"/>
      <c r="HGN13" s="15"/>
      <c r="HGO13" s="15"/>
      <c r="HGP13" s="15"/>
      <c r="HHA13" s="15"/>
      <c r="HHB13" s="15"/>
      <c r="HHC13" s="15"/>
      <c r="HHN13" s="15"/>
      <c r="HHO13" s="15"/>
      <c r="HHP13" s="15"/>
      <c r="HIA13" s="15"/>
      <c r="HIB13" s="15"/>
      <c r="HIC13" s="15"/>
      <c r="HIN13" s="15"/>
      <c r="HIO13" s="15"/>
      <c r="HIP13" s="15"/>
      <c r="HJA13" s="15"/>
      <c r="HJB13" s="15"/>
      <c r="HJC13" s="15"/>
      <c r="HJN13" s="15"/>
      <c r="HJO13" s="15"/>
      <c r="HJP13" s="15"/>
      <c r="HKA13" s="15"/>
      <c r="HKB13" s="15"/>
      <c r="HKC13" s="15"/>
      <c r="HKN13" s="15"/>
      <c r="HKO13" s="15"/>
      <c r="HKP13" s="15"/>
      <c r="HLA13" s="15"/>
      <c r="HLB13" s="15"/>
      <c r="HLC13" s="15"/>
      <c r="HLN13" s="15"/>
      <c r="HLO13" s="15"/>
      <c r="HLP13" s="15"/>
      <c r="HMA13" s="15"/>
      <c r="HMB13" s="15"/>
      <c r="HMC13" s="15"/>
      <c r="HMN13" s="15"/>
      <c r="HMO13" s="15"/>
      <c r="HMP13" s="15"/>
      <c r="HNA13" s="15"/>
      <c r="HNB13" s="15"/>
      <c r="HNC13" s="15"/>
      <c r="HNN13" s="15"/>
      <c r="HNO13" s="15"/>
      <c r="HNP13" s="15"/>
      <c r="HOA13" s="15"/>
      <c r="HOB13" s="15"/>
      <c r="HOC13" s="15"/>
      <c r="HON13" s="15"/>
      <c r="HOO13" s="15"/>
      <c r="HOP13" s="15"/>
      <c r="HPA13" s="15"/>
      <c r="HPB13" s="15"/>
      <c r="HPC13" s="15"/>
      <c r="HPN13" s="15"/>
      <c r="HPO13" s="15"/>
      <c r="HPP13" s="15"/>
      <c r="HQA13" s="15"/>
      <c r="HQB13" s="15"/>
      <c r="HQC13" s="15"/>
      <c r="HQN13" s="15"/>
      <c r="HQO13" s="15"/>
      <c r="HQP13" s="15"/>
      <c r="HRA13" s="15"/>
      <c r="HRB13" s="15"/>
      <c r="HRC13" s="15"/>
      <c r="HRN13" s="15"/>
      <c r="HRO13" s="15"/>
      <c r="HRP13" s="15"/>
      <c r="HSA13" s="15"/>
      <c r="HSB13" s="15"/>
      <c r="HSC13" s="15"/>
      <c r="HSN13" s="15"/>
      <c r="HSO13" s="15"/>
      <c r="HSP13" s="15"/>
      <c r="HTA13" s="15"/>
      <c r="HTB13" s="15"/>
      <c r="HTC13" s="15"/>
      <c r="HTN13" s="15"/>
      <c r="HTO13" s="15"/>
      <c r="HTP13" s="15"/>
      <c r="HUA13" s="15"/>
      <c r="HUB13" s="15"/>
      <c r="HUC13" s="15"/>
      <c r="HUN13" s="15"/>
      <c r="HUO13" s="15"/>
      <c r="HUP13" s="15"/>
      <c r="HVA13" s="15"/>
      <c r="HVB13" s="15"/>
      <c r="HVC13" s="15"/>
      <c r="HVN13" s="15"/>
      <c r="HVO13" s="15"/>
      <c r="HVP13" s="15"/>
      <c r="HWA13" s="15"/>
      <c r="HWB13" s="15"/>
      <c r="HWC13" s="15"/>
      <c r="HWN13" s="15"/>
      <c r="HWO13" s="15"/>
      <c r="HWP13" s="15"/>
      <c r="HXA13" s="15"/>
      <c r="HXB13" s="15"/>
      <c r="HXC13" s="15"/>
      <c r="HXN13" s="15"/>
      <c r="HXO13" s="15"/>
      <c r="HXP13" s="15"/>
      <c r="HYA13" s="15"/>
      <c r="HYB13" s="15"/>
      <c r="HYC13" s="15"/>
      <c r="HYN13" s="15"/>
      <c r="HYO13" s="15"/>
      <c r="HYP13" s="15"/>
      <c r="HZA13" s="15"/>
      <c r="HZB13" s="15"/>
      <c r="HZC13" s="15"/>
      <c r="HZN13" s="15"/>
      <c r="HZO13" s="15"/>
      <c r="HZP13" s="15"/>
      <c r="IAA13" s="15"/>
      <c r="IAB13" s="15"/>
      <c r="IAC13" s="15"/>
      <c r="IAN13" s="15"/>
      <c r="IAO13" s="15"/>
      <c r="IAP13" s="15"/>
      <c r="IBA13" s="15"/>
      <c r="IBB13" s="15"/>
      <c r="IBC13" s="15"/>
      <c r="IBN13" s="15"/>
      <c r="IBO13" s="15"/>
      <c r="IBP13" s="15"/>
      <c r="ICA13" s="15"/>
      <c r="ICB13" s="15"/>
      <c r="ICC13" s="15"/>
      <c r="ICN13" s="15"/>
      <c r="ICO13" s="15"/>
      <c r="ICP13" s="15"/>
      <c r="IDA13" s="15"/>
      <c r="IDB13" s="15"/>
      <c r="IDC13" s="15"/>
      <c r="IDN13" s="15"/>
      <c r="IDO13" s="15"/>
      <c r="IDP13" s="15"/>
      <c r="IEA13" s="15"/>
      <c r="IEB13" s="15"/>
      <c r="IEC13" s="15"/>
      <c r="IEN13" s="15"/>
      <c r="IEO13" s="15"/>
      <c r="IEP13" s="15"/>
      <c r="IFA13" s="15"/>
      <c r="IFB13" s="15"/>
      <c r="IFC13" s="15"/>
      <c r="IFN13" s="15"/>
      <c r="IFO13" s="15"/>
      <c r="IFP13" s="15"/>
      <c r="IGA13" s="15"/>
      <c r="IGB13" s="15"/>
      <c r="IGC13" s="15"/>
      <c r="IGN13" s="15"/>
      <c r="IGO13" s="15"/>
      <c r="IGP13" s="15"/>
      <c r="IHA13" s="15"/>
      <c r="IHB13" s="15"/>
      <c r="IHC13" s="15"/>
      <c r="IHN13" s="15"/>
      <c r="IHO13" s="15"/>
      <c r="IHP13" s="15"/>
      <c r="IIA13" s="15"/>
      <c r="IIB13" s="15"/>
      <c r="IIC13" s="15"/>
      <c r="IIN13" s="15"/>
      <c r="IIO13" s="15"/>
      <c r="IIP13" s="15"/>
      <c r="IJA13" s="15"/>
      <c r="IJB13" s="15"/>
      <c r="IJC13" s="15"/>
      <c r="IJN13" s="15"/>
      <c r="IJO13" s="15"/>
      <c r="IJP13" s="15"/>
      <c r="IKA13" s="15"/>
      <c r="IKB13" s="15"/>
      <c r="IKC13" s="15"/>
      <c r="IKN13" s="15"/>
      <c r="IKO13" s="15"/>
      <c r="IKP13" s="15"/>
      <c r="ILA13" s="15"/>
      <c r="ILB13" s="15"/>
      <c r="ILC13" s="15"/>
      <c r="ILN13" s="15"/>
      <c r="ILO13" s="15"/>
      <c r="ILP13" s="15"/>
      <c r="IMA13" s="15"/>
      <c r="IMB13" s="15"/>
      <c r="IMC13" s="15"/>
      <c r="IMN13" s="15"/>
      <c r="IMO13" s="15"/>
      <c r="IMP13" s="15"/>
      <c r="INA13" s="15"/>
      <c r="INB13" s="15"/>
      <c r="INC13" s="15"/>
      <c r="INN13" s="15"/>
      <c r="INO13" s="15"/>
      <c r="INP13" s="15"/>
      <c r="IOA13" s="15"/>
      <c r="IOB13" s="15"/>
      <c r="IOC13" s="15"/>
      <c r="ION13" s="15"/>
      <c r="IOO13" s="15"/>
      <c r="IOP13" s="15"/>
      <c r="IPA13" s="15"/>
      <c r="IPB13" s="15"/>
      <c r="IPC13" s="15"/>
      <c r="IPN13" s="15"/>
      <c r="IPO13" s="15"/>
      <c r="IPP13" s="15"/>
      <c r="IQA13" s="15"/>
      <c r="IQB13" s="15"/>
      <c r="IQC13" s="15"/>
      <c r="IQN13" s="15"/>
      <c r="IQO13" s="15"/>
      <c r="IQP13" s="15"/>
      <c r="IRA13" s="15"/>
      <c r="IRB13" s="15"/>
      <c r="IRC13" s="15"/>
      <c r="IRN13" s="15"/>
      <c r="IRO13" s="15"/>
      <c r="IRP13" s="15"/>
      <c r="ISA13" s="15"/>
      <c r="ISB13" s="15"/>
      <c r="ISC13" s="15"/>
      <c r="ISN13" s="15"/>
      <c r="ISO13" s="15"/>
      <c r="ISP13" s="15"/>
      <c r="ITA13" s="15"/>
      <c r="ITB13" s="15"/>
      <c r="ITC13" s="15"/>
      <c r="ITN13" s="15"/>
      <c r="ITO13" s="15"/>
      <c r="ITP13" s="15"/>
      <c r="IUA13" s="15"/>
      <c r="IUB13" s="15"/>
      <c r="IUC13" s="15"/>
      <c r="IUN13" s="15"/>
      <c r="IUO13" s="15"/>
      <c r="IUP13" s="15"/>
      <c r="IVA13" s="15"/>
      <c r="IVB13" s="15"/>
      <c r="IVC13" s="15"/>
      <c r="IVN13" s="15"/>
      <c r="IVO13" s="15"/>
      <c r="IVP13" s="15"/>
      <c r="IWA13" s="15"/>
      <c r="IWB13" s="15"/>
      <c r="IWC13" s="15"/>
      <c r="IWN13" s="15"/>
      <c r="IWO13" s="15"/>
      <c r="IWP13" s="15"/>
      <c r="IXA13" s="15"/>
      <c r="IXB13" s="15"/>
      <c r="IXC13" s="15"/>
      <c r="IXN13" s="15"/>
      <c r="IXO13" s="15"/>
      <c r="IXP13" s="15"/>
      <c r="IYA13" s="15"/>
      <c r="IYB13" s="15"/>
      <c r="IYC13" s="15"/>
      <c r="IYN13" s="15"/>
      <c r="IYO13" s="15"/>
      <c r="IYP13" s="15"/>
      <c r="IZA13" s="15"/>
      <c r="IZB13" s="15"/>
      <c r="IZC13" s="15"/>
      <c r="IZN13" s="15"/>
      <c r="IZO13" s="15"/>
      <c r="IZP13" s="15"/>
      <c r="JAA13" s="15"/>
      <c r="JAB13" s="15"/>
      <c r="JAC13" s="15"/>
      <c r="JAN13" s="15"/>
      <c r="JAO13" s="15"/>
      <c r="JAP13" s="15"/>
      <c r="JBA13" s="15"/>
      <c r="JBB13" s="15"/>
      <c r="JBC13" s="15"/>
      <c r="JBN13" s="15"/>
      <c r="JBO13" s="15"/>
      <c r="JBP13" s="15"/>
      <c r="JCA13" s="15"/>
      <c r="JCB13" s="15"/>
      <c r="JCC13" s="15"/>
      <c r="JCN13" s="15"/>
      <c r="JCO13" s="15"/>
      <c r="JCP13" s="15"/>
      <c r="JDA13" s="15"/>
      <c r="JDB13" s="15"/>
      <c r="JDC13" s="15"/>
      <c r="JDN13" s="15"/>
      <c r="JDO13" s="15"/>
      <c r="JDP13" s="15"/>
      <c r="JEA13" s="15"/>
      <c r="JEB13" s="15"/>
      <c r="JEC13" s="15"/>
      <c r="JEN13" s="15"/>
      <c r="JEO13" s="15"/>
      <c r="JEP13" s="15"/>
      <c r="JFA13" s="15"/>
      <c r="JFB13" s="15"/>
      <c r="JFC13" s="15"/>
      <c r="JFN13" s="15"/>
      <c r="JFO13" s="15"/>
      <c r="JFP13" s="15"/>
      <c r="JGA13" s="15"/>
      <c r="JGB13" s="15"/>
      <c r="JGC13" s="15"/>
      <c r="JGN13" s="15"/>
      <c r="JGO13" s="15"/>
      <c r="JGP13" s="15"/>
      <c r="JHA13" s="15"/>
      <c r="JHB13" s="15"/>
      <c r="JHC13" s="15"/>
      <c r="JHN13" s="15"/>
      <c r="JHO13" s="15"/>
      <c r="JHP13" s="15"/>
      <c r="JIA13" s="15"/>
      <c r="JIB13" s="15"/>
      <c r="JIC13" s="15"/>
      <c r="JIN13" s="15"/>
      <c r="JIO13" s="15"/>
      <c r="JIP13" s="15"/>
      <c r="JJA13" s="15"/>
      <c r="JJB13" s="15"/>
      <c r="JJC13" s="15"/>
      <c r="JJN13" s="15"/>
      <c r="JJO13" s="15"/>
      <c r="JJP13" s="15"/>
      <c r="JKA13" s="15"/>
      <c r="JKB13" s="15"/>
      <c r="JKC13" s="15"/>
      <c r="JKN13" s="15"/>
      <c r="JKO13" s="15"/>
      <c r="JKP13" s="15"/>
      <c r="JLA13" s="15"/>
      <c r="JLB13" s="15"/>
      <c r="JLC13" s="15"/>
      <c r="JLN13" s="15"/>
      <c r="JLO13" s="15"/>
      <c r="JLP13" s="15"/>
      <c r="JMA13" s="15"/>
      <c r="JMB13" s="15"/>
      <c r="JMC13" s="15"/>
      <c r="JMN13" s="15"/>
      <c r="JMO13" s="15"/>
      <c r="JMP13" s="15"/>
      <c r="JNA13" s="15"/>
      <c r="JNB13" s="15"/>
      <c r="JNC13" s="15"/>
      <c r="JNN13" s="15"/>
      <c r="JNO13" s="15"/>
      <c r="JNP13" s="15"/>
      <c r="JOA13" s="15"/>
      <c r="JOB13" s="15"/>
      <c r="JOC13" s="15"/>
      <c r="JON13" s="15"/>
      <c r="JOO13" s="15"/>
      <c r="JOP13" s="15"/>
      <c r="JPA13" s="15"/>
      <c r="JPB13" s="15"/>
      <c r="JPC13" s="15"/>
      <c r="JPN13" s="15"/>
      <c r="JPO13" s="15"/>
      <c r="JPP13" s="15"/>
      <c r="JQA13" s="15"/>
      <c r="JQB13" s="15"/>
      <c r="JQC13" s="15"/>
      <c r="JQN13" s="15"/>
      <c r="JQO13" s="15"/>
      <c r="JQP13" s="15"/>
      <c r="JRA13" s="15"/>
      <c r="JRB13" s="15"/>
      <c r="JRC13" s="15"/>
      <c r="JRN13" s="15"/>
      <c r="JRO13" s="15"/>
      <c r="JRP13" s="15"/>
      <c r="JSA13" s="15"/>
      <c r="JSB13" s="15"/>
      <c r="JSC13" s="15"/>
      <c r="JSN13" s="15"/>
      <c r="JSO13" s="15"/>
      <c r="JSP13" s="15"/>
      <c r="JTA13" s="15"/>
      <c r="JTB13" s="15"/>
      <c r="JTC13" s="15"/>
      <c r="JTN13" s="15"/>
      <c r="JTO13" s="15"/>
      <c r="JTP13" s="15"/>
      <c r="JUA13" s="15"/>
      <c r="JUB13" s="15"/>
      <c r="JUC13" s="15"/>
      <c r="JUN13" s="15"/>
      <c r="JUO13" s="15"/>
      <c r="JUP13" s="15"/>
      <c r="JVA13" s="15"/>
      <c r="JVB13" s="15"/>
      <c r="JVC13" s="15"/>
      <c r="JVN13" s="15"/>
      <c r="JVO13" s="15"/>
      <c r="JVP13" s="15"/>
      <c r="JWA13" s="15"/>
      <c r="JWB13" s="15"/>
      <c r="JWC13" s="15"/>
      <c r="JWN13" s="15"/>
      <c r="JWO13" s="15"/>
      <c r="JWP13" s="15"/>
      <c r="JXA13" s="15"/>
      <c r="JXB13" s="15"/>
      <c r="JXC13" s="15"/>
      <c r="JXN13" s="15"/>
      <c r="JXO13" s="15"/>
      <c r="JXP13" s="15"/>
      <c r="JYA13" s="15"/>
      <c r="JYB13" s="15"/>
      <c r="JYC13" s="15"/>
      <c r="JYN13" s="15"/>
      <c r="JYO13" s="15"/>
      <c r="JYP13" s="15"/>
      <c r="JZA13" s="15"/>
      <c r="JZB13" s="15"/>
      <c r="JZC13" s="15"/>
      <c r="JZN13" s="15"/>
      <c r="JZO13" s="15"/>
      <c r="JZP13" s="15"/>
      <c r="KAA13" s="15"/>
      <c r="KAB13" s="15"/>
      <c r="KAC13" s="15"/>
      <c r="KAN13" s="15"/>
      <c r="KAO13" s="15"/>
      <c r="KAP13" s="15"/>
      <c r="KBA13" s="15"/>
      <c r="KBB13" s="15"/>
      <c r="KBC13" s="15"/>
      <c r="KBN13" s="15"/>
      <c r="KBO13" s="15"/>
      <c r="KBP13" s="15"/>
      <c r="KCA13" s="15"/>
      <c r="KCB13" s="15"/>
      <c r="KCC13" s="15"/>
      <c r="KCN13" s="15"/>
      <c r="KCO13" s="15"/>
      <c r="KCP13" s="15"/>
      <c r="KDA13" s="15"/>
      <c r="KDB13" s="15"/>
      <c r="KDC13" s="15"/>
      <c r="KDN13" s="15"/>
      <c r="KDO13" s="15"/>
      <c r="KDP13" s="15"/>
      <c r="KEA13" s="15"/>
      <c r="KEB13" s="15"/>
      <c r="KEC13" s="15"/>
      <c r="KEN13" s="15"/>
      <c r="KEO13" s="15"/>
      <c r="KEP13" s="15"/>
      <c r="KFA13" s="15"/>
      <c r="KFB13" s="15"/>
      <c r="KFC13" s="15"/>
      <c r="KFN13" s="15"/>
      <c r="KFO13" s="15"/>
      <c r="KFP13" s="15"/>
      <c r="KGA13" s="15"/>
      <c r="KGB13" s="15"/>
      <c r="KGC13" s="15"/>
      <c r="KGN13" s="15"/>
      <c r="KGO13" s="15"/>
      <c r="KGP13" s="15"/>
      <c r="KHA13" s="15"/>
      <c r="KHB13" s="15"/>
      <c r="KHC13" s="15"/>
      <c r="KHN13" s="15"/>
      <c r="KHO13" s="15"/>
      <c r="KHP13" s="15"/>
      <c r="KIA13" s="15"/>
      <c r="KIB13" s="15"/>
      <c r="KIC13" s="15"/>
      <c r="KIN13" s="15"/>
      <c r="KIO13" s="15"/>
      <c r="KIP13" s="15"/>
      <c r="KJA13" s="15"/>
      <c r="KJB13" s="15"/>
      <c r="KJC13" s="15"/>
      <c r="KJN13" s="15"/>
      <c r="KJO13" s="15"/>
      <c r="KJP13" s="15"/>
      <c r="KKA13" s="15"/>
      <c r="KKB13" s="15"/>
      <c r="KKC13" s="15"/>
      <c r="KKN13" s="15"/>
      <c r="KKO13" s="15"/>
      <c r="KKP13" s="15"/>
      <c r="KLA13" s="15"/>
      <c r="KLB13" s="15"/>
      <c r="KLC13" s="15"/>
      <c r="KLN13" s="15"/>
      <c r="KLO13" s="15"/>
      <c r="KLP13" s="15"/>
      <c r="KMA13" s="15"/>
      <c r="KMB13" s="15"/>
      <c r="KMC13" s="15"/>
      <c r="KMN13" s="15"/>
      <c r="KMO13" s="15"/>
      <c r="KMP13" s="15"/>
      <c r="KNA13" s="15"/>
      <c r="KNB13" s="15"/>
      <c r="KNC13" s="15"/>
      <c r="KNN13" s="15"/>
      <c r="KNO13" s="15"/>
      <c r="KNP13" s="15"/>
      <c r="KOA13" s="15"/>
      <c r="KOB13" s="15"/>
      <c r="KOC13" s="15"/>
      <c r="KON13" s="15"/>
      <c r="KOO13" s="15"/>
      <c r="KOP13" s="15"/>
      <c r="KPA13" s="15"/>
      <c r="KPB13" s="15"/>
      <c r="KPC13" s="15"/>
      <c r="KPN13" s="15"/>
      <c r="KPO13" s="15"/>
      <c r="KPP13" s="15"/>
      <c r="KQA13" s="15"/>
      <c r="KQB13" s="15"/>
      <c r="KQC13" s="15"/>
      <c r="KQN13" s="15"/>
      <c r="KQO13" s="15"/>
      <c r="KQP13" s="15"/>
      <c r="KRA13" s="15"/>
      <c r="KRB13" s="15"/>
      <c r="KRC13" s="15"/>
      <c r="KRN13" s="15"/>
      <c r="KRO13" s="15"/>
      <c r="KRP13" s="15"/>
      <c r="KSA13" s="15"/>
      <c r="KSB13" s="15"/>
      <c r="KSC13" s="15"/>
      <c r="KSN13" s="15"/>
      <c r="KSO13" s="15"/>
      <c r="KSP13" s="15"/>
      <c r="KTA13" s="15"/>
      <c r="KTB13" s="15"/>
      <c r="KTC13" s="15"/>
      <c r="KTN13" s="15"/>
      <c r="KTO13" s="15"/>
      <c r="KTP13" s="15"/>
      <c r="KUA13" s="15"/>
      <c r="KUB13" s="15"/>
      <c r="KUC13" s="15"/>
      <c r="KUN13" s="15"/>
      <c r="KUO13" s="15"/>
      <c r="KUP13" s="15"/>
      <c r="KVA13" s="15"/>
      <c r="KVB13" s="15"/>
      <c r="KVC13" s="15"/>
      <c r="KVN13" s="15"/>
      <c r="KVO13" s="15"/>
      <c r="KVP13" s="15"/>
      <c r="KWA13" s="15"/>
      <c r="KWB13" s="15"/>
      <c r="KWC13" s="15"/>
      <c r="KWN13" s="15"/>
      <c r="KWO13" s="15"/>
      <c r="KWP13" s="15"/>
      <c r="KXA13" s="15"/>
      <c r="KXB13" s="15"/>
      <c r="KXC13" s="15"/>
      <c r="KXN13" s="15"/>
      <c r="KXO13" s="15"/>
      <c r="KXP13" s="15"/>
      <c r="KYA13" s="15"/>
      <c r="KYB13" s="15"/>
      <c r="KYC13" s="15"/>
      <c r="KYN13" s="15"/>
      <c r="KYO13" s="15"/>
      <c r="KYP13" s="15"/>
      <c r="KZA13" s="15"/>
      <c r="KZB13" s="15"/>
      <c r="KZC13" s="15"/>
      <c r="KZN13" s="15"/>
      <c r="KZO13" s="15"/>
      <c r="KZP13" s="15"/>
      <c r="LAA13" s="15"/>
      <c r="LAB13" s="15"/>
      <c r="LAC13" s="15"/>
      <c r="LAN13" s="15"/>
      <c r="LAO13" s="15"/>
      <c r="LAP13" s="15"/>
      <c r="LBA13" s="15"/>
      <c r="LBB13" s="15"/>
      <c r="LBC13" s="15"/>
      <c r="LBN13" s="15"/>
      <c r="LBO13" s="15"/>
      <c r="LBP13" s="15"/>
      <c r="LCA13" s="15"/>
      <c r="LCB13" s="15"/>
      <c r="LCC13" s="15"/>
      <c r="LCN13" s="15"/>
      <c r="LCO13" s="15"/>
      <c r="LCP13" s="15"/>
      <c r="LDA13" s="15"/>
      <c r="LDB13" s="15"/>
      <c r="LDC13" s="15"/>
      <c r="LDN13" s="15"/>
      <c r="LDO13" s="15"/>
      <c r="LDP13" s="15"/>
      <c r="LEA13" s="15"/>
      <c r="LEB13" s="15"/>
      <c r="LEC13" s="15"/>
      <c r="LEN13" s="15"/>
      <c r="LEO13" s="15"/>
      <c r="LEP13" s="15"/>
      <c r="LFA13" s="15"/>
      <c r="LFB13" s="15"/>
      <c r="LFC13" s="15"/>
      <c r="LFN13" s="15"/>
      <c r="LFO13" s="15"/>
      <c r="LFP13" s="15"/>
      <c r="LGA13" s="15"/>
      <c r="LGB13" s="15"/>
      <c r="LGC13" s="15"/>
      <c r="LGN13" s="15"/>
      <c r="LGO13" s="15"/>
      <c r="LGP13" s="15"/>
      <c r="LHA13" s="15"/>
      <c r="LHB13" s="15"/>
      <c r="LHC13" s="15"/>
      <c r="LHN13" s="15"/>
      <c r="LHO13" s="15"/>
      <c r="LHP13" s="15"/>
      <c r="LIA13" s="15"/>
      <c r="LIB13" s="15"/>
      <c r="LIC13" s="15"/>
      <c r="LIN13" s="15"/>
      <c r="LIO13" s="15"/>
      <c r="LIP13" s="15"/>
      <c r="LJA13" s="15"/>
      <c r="LJB13" s="15"/>
      <c r="LJC13" s="15"/>
      <c r="LJN13" s="15"/>
      <c r="LJO13" s="15"/>
      <c r="LJP13" s="15"/>
      <c r="LKA13" s="15"/>
      <c r="LKB13" s="15"/>
      <c r="LKC13" s="15"/>
      <c r="LKN13" s="15"/>
      <c r="LKO13" s="15"/>
      <c r="LKP13" s="15"/>
      <c r="LLA13" s="15"/>
      <c r="LLB13" s="15"/>
      <c r="LLC13" s="15"/>
      <c r="LLN13" s="15"/>
      <c r="LLO13" s="15"/>
      <c r="LLP13" s="15"/>
      <c r="LMA13" s="15"/>
      <c r="LMB13" s="15"/>
      <c r="LMC13" s="15"/>
      <c r="LMN13" s="15"/>
      <c r="LMO13" s="15"/>
      <c r="LMP13" s="15"/>
      <c r="LNA13" s="15"/>
      <c r="LNB13" s="15"/>
      <c r="LNC13" s="15"/>
      <c r="LNN13" s="15"/>
      <c r="LNO13" s="15"/>
      <c r="LNP13" s="15"/>
      <c r="LOA13" s="15"/>
      <c r="LOB13" s="15"/>
      <c r="LOC13" s="15"/>
      <c r="LON13" s="15"/>
      <c r="LOO13" s="15"/>
      <c r="LOP13" s="15"/>
      <c r="LPA13" s="15"/>
      <c r="LPB13" s="15"/>
      <c r="LPC13" s="15"/>
      <c r="LPN13" s="15"/>
      <c r="LPO13" s="15"/>
      <c r="LPP13" s="15"/>
      <c r="LQA13" s="15"/>
      <c r="LQB13" s="15"/>
      <c r="LQC13" s="15"/>
      <c r="LQN13" s="15"/>
      <c r="LQO13" s="15"/>
      <c r="LQP13" s="15"/>
      <c r="LRA13" s="15"/>
      <c r="LRB13" s="15"/>
      <c r="LRC13" s="15"/>
      <c r="LRN13" s="15"/>
      <c r="LRO13" s="15"/>
      <c r="LRP13" s="15"/>
      <c r="LSA13" s="15"/>
      <c r="LSB13" s="15"/>
      <c r="LSC13" s="15"/>
      <c r="LSN13" s="15"/>
      <c r="LSO13" s="15"/>
      <c r="LSP13" s="15"/>
      <c r="LTA13" s="15"/>
      <c r="LTB13" s="15"/>
      <c r="LTC13" s="15"/>
      <c r="LTN13" s="15"/>
      <c r="LTO13" s="15"/>
      <c r="LTP13" s="15"/>
      <c r="LUA13" s="15"/>
      <c r="LUB13" s="15"/>
      <c r="LUC13" s="15"/>
      <c r="LUN13" s="15"/>
      <c r="LUO13" s="15"/>
      <c r="LUP13" s="15"/>
      <c r="LVA13" s="15"/>
      <c r="LVB13" s="15"/>
      <c r="LVC13" s="15"/>
      <c r="LVN13" s="15"/>
      <c r="LVO13" s="15"/>
      <c r="LVP13" s="15"/>
      <c r="LWA13" s="15"/>
      <c r="LWB13" s="15"/>
      <c r="LWC13" s="15"/>
      <c r="LWN13" s="15"/>
      <c r="LWO13" s="15"/>
      <c r="LWP13" s="15"/>
      <c r="LXA13" s="15"/>
      <c r="LXB13" s="15"/>
      <c r="LXC13" s="15"/>
      <c r="LXN13" s="15"/>
      <c r="LXO13" s="15"/>
      <c r="LXP13" s="15"/>
      <c r="LYA13" s="15"/>
      <c r="LYB13" s="15"/>
      <c r="LYC13" s="15"/>
      <c r="LYN13" s="15"/>
      <c r="LYO13" s="15"/>
      <c r="LYP13" s="15"/>
      <c r="LZA13" s="15"/>
      <c r="LZB13" s="15"/>
      <c r="LZC13" s="15"/>
      <c r="LZN13" s="15"/>
      <c r="LZO13" s="15"/>
      <c r="LZP13" s="15"/>
      <c r="MAA13" s="15"/>
      <c r="MAB13" s="15"/>
      <c r="MAC13" s="15"/>
      <c r="MAN13" s="15"/>
      <c r="MAO13" s="15"/>
      <c r="MAP13" s="15"/>
      <c r="MBA13" s="15"/>
      <c r="MBB13" s="15"/>
      <c r="MBC13" s="15"/>
      <c r="MBN13" s="15"/>
      <c r="MBO13" s="15"/>
      <c r="MBP13" s="15"/>
      <c r="MCA13" s="15"/>
      <c r="MCB13" s="15"/>
      <c r="MCC13" s="15"/>
      <c r="MCN13" s="15"/>
      <c r="MCO13" s="15"/>
      <c r="MCP13" s="15"/>
      <c r="MDA13" s="15"/>
      <c r="MDB13" s="15"/>
      <c r="MDC13" s="15"/>
      <c r="MDN13" s="15"/>
      <c r="MDO13" s="15"/>
      <c r="MDP13" s="15"/>
      <c r="MEA13" s="15"/>
      <c r="MEB13" s="15"/>
      <c r="MEC13" s="15"/>
      <c r="MEN13" s="15"/>
      <c r="MEO13" s="15"/>
      <c r="MEP13" s="15"/>
      <c r="MFA13" s="15"/>
      <c r="MFB13" s="15"/>
      <c r="MFC13" s="15"/>
      <c r="MFN13" s="15"/>
      <c r="MFO13" s="15"/>
      <c r="MFP13" s="15"/>
      <c r="MGA13" s="15"/>
      <c r="MGB13" s="15"/>
      <c r="MGC13" s="15"/>
      <c r="MGN13" s="15"/>
      <c r="MGO13" s="15"/>
      <c r="MGP13" s="15"/>
      <c r="MHA13" s="15"/>
      <c r="MHB13" s="15"/>
      <c r="MHC13" s="15"/>
      <c r="MHN13" s="15"/>
      <c r="MHO13" s="15"/>
      <c r="MHP13" s="15"/>
      <c r="MIA13" s="15"/>
      <c r="MIB13" s="15"/>
      <c r="MIC13" s="15"/>
      <c r="MIN13" s="15"/>
      <c r="MIO13" s="15"/>
      <c r="MIP13" s="15"/>
      <c r="MJA13" s="15"/>
      <c r="MJB13" s="15"/>
      <c r="MJC13" s="15"/>
      <c r="MJN13" s="15"/>
      <c r="MJO13" s="15"/>
      <c r="MJP13" s="15"/>
      <c r="MKA13" s="15"/>
      <c r="MKB13" s="15"/>
      <c r="MKC13" s="15"/>
      <c r="MKN13" s="15"/>
      <c r="MKO13" s="15"/>
      <c r="MKP13" s="15"/>
      <c r="MLA13" s="15"/>
      <c r="MLB13" s="15"/>
      <c r="MLC13" s="15"/>
      <c r="MLN13" s="15"/>
      <c r="MLO13" s="15"/>
      <c r="MLP13" s="15"/>
      <c r="MMA13" s="15"/>
      <c r="MMB13" s="15"/>
      <c r="MMC13" s="15"/>
      <c r="MMN13" s="15"/>
      <c r="MMO13" s="15"/>
      <c r="MMP13" s="15"/>
      <c r="MNA13" s="15"/>
      <c r="MNB13" s="15"/>
      <c r="MNC13" s="15"/>
      <c r="MNN13" s="15"/>
      <c r="MNO13" s="15"/>
      <c r="MNP13" s="15"/>
      <c r="MOA13" s="15"/>
      <c r="MOB13" s="15"/>
      <c r="MOC13" s="15"/>
      <c r="MON13" s="15"/>
      <c r="MOO13" s="15"/>
      <c r="MOP13" s="15"/>
      <c r="MPA13" s="15"/>
      <c r="MPB13" s="15"/>
      <c r="MPC13" s="15"/>
      <c r="MPN13" s="15"/>
      <c r="MPO13" s="15"/>
      <c r="MPP13" s="15"/>
      <c r="MQA13" s="15"/>
      <c r="MQB13" s="15"/>
      <c r="MQC13" s="15"/>
      <c r="MQN13" s="15"/>
      <c r="MQO13" s="15"/>
      <c r="MQP13" s="15"/>
      <c r="MRA13" s="15"/>
      <c r="MRB13" s="15"/>
      <c r="MRC13" s="15"/>
      <c r="MRN13" s="15"/>
      <c r="MRO13" s="15"/>
      <c r="MRP13" s="15"/>
      <c r="MSA13" s="15"/>
      <c r="MSB13" s="15"/>
      <c r="MSC13" s="15"/>
      <c r="MSN13" s="15"/>
      <c r="MSO13" s="15"/>
      <c r="MSP13" s="15"/>
      <c r="MTA13" s="15"/>
      <c r="MTB13" s="15"/>
      <c r="MTC13" s="15"/>
      <c r="MTN13" s="15"/>
      <c r="MTO13" s="15"/>
      <c r="MTP13" s="15"/>
      <c r="MUA13" s="15"/>
      <c r="MUB13" s="15"/>
      <c r="MUC13" s="15"/>
      <c r="MUN13" s="15"/>
      <c r="MUO13" s="15"/>
      <c r="MUP13" s="15"/>
      <c r="MVA13" s="15"/>
      <c r="MVB13" s="15"/>
      <c r="MVC13" s="15"/>
      <c r="MVN13" s="15"/>
      <c r="MVO13" s="15"/>
      <c r="MVP13" s="15"/>
      <c r="MWA13" s="15"/>
      <c r="MWB13" s="15"/>
      <c r="MWC13" s="15"/>
      <c r="MWN13" s="15"/>
      <c r="MWO13" s="15"/>
      <c r="MWP13" s="15"/>
      <c r="MXA13" s="15"/>
      <c r="MXB13" s="15"/>
      <c r="MXC13" s="15"/>
      <c r="MXN13" s="15"/>
      <c r="MXO13" s="15"/>
      <c r="MXP13" s="15"/>
      <c r="MYA13" s="15"/>
      <c r="MYB13" s="15"/>
      <c r="MYC13" s="15"/>
      <c r="MYN13" s="15"/>
      <c r="MYO13" s="15"/>
      <c r="MYP13" s="15"/>
      <c r="MZA13" s="15"/>
      <c r="MZB13" s="15"/>
      <c r="MZC13" s="15"/>
      <c r="MZN13" s="15"/>
      <c r="MZO13" s="15"/>
      <c r="MZP13" s="15"/>
      <c r="NAA13" s="15"/>
      <c r="NAB13" s="15"/>
      <c r="NAC13" s="15"/>
      <c r="NAN13" s="15"/>
      <c r="NAO13" s="15"/>
      <c r="NAP13" s="15"/>
      <c r="NBA13" s="15"/>
      <c r="NBB13" s="15"/>
      <c r="NBC13" s="15"/>
      <c r="NBN13" s="15"/>
      <c r="NBO13" s="15"/>
      <c r="NBP13" s="15"/>
      <c r="NCA13" s="15"/>
      <c r="NCB13" s="15"/>
      <c r="NCC13" s="15"/>
      <c r="NCN13" s="15"/>
      <c r="NCO13" s="15"/>
      <c r="NCP13" s="15"/>
      <c r="NDA13" s="15"/>
      <c r="NDB13" s="15"/>
      <c r="NDC13" s="15"/>
      <c r="NDN13" s="15"/>
      <c r="NDO13" s="15"/>
      <c r="NDP13" s="15"/>
      <c r="NEA13" s="15"/>
      <c r="NEB13" s="15"/>
      <c r="NEC13" s="15"/>
      <c r="NEN13" s="15"/>
      <c r="NEO13" s="15"/>
      <c r="NEP13" s="15"/>
      <c r="NFA13" s="15"/>
      <c r="NFB13" s="15"/>
      <c r="NFC13" s="15"/>
      <c r="NFN13" s="15"/>
      <c r="NFO13" s="15"/>
      <c r="NFP13" s="15"/>
      <c r="NGA13" s="15"/>
      <c r="NGB13" s="15"/>
      <c r="NGC13" s="15"/>
      <c r="NGN13" s="15"/>
      <c r="NGO13" s="15"/>
      <c r="NGP13" s="15"/>
      <c r="NHA13" s="15"/>
      <c r="NHB13" s="15"/>
      <c r="NHC13" s="15"/>
      <c r="NHN13" s="15"/>
      <c r="NHO13" s="15"/>
      <c r="NHP13" s="15"/>
      <c r="NIA13" s="15"/>
      <c r="NIB13" s="15"/>
      <c r="NIC13" s="15"/>
      <c r="NIN13" s="15"/>
      <c r="NIO13" s="15"/>
      <c r="NIP13" s="15"/>
      <c r="NJA13" s="15"/>
      <c r="NJB13" s="15"/>
      <c r="NJC13" s="15"/>
      <c r="NJN13" s="15"/>
      <c r="NJO13" s="15"/>
      <c r="NJP13" s="15"/>
      <c r="NKA13" s="15"/>
      <c r="NKB13" s="15"/>
      <c r="NKC13" s="15"/>
      <c r="NKN13" s="15"/>
      <c r="NKO13" s="15"/>
      <c r="NKP13" s="15"/>
      <c r="NLA13" s="15"/>
      <c r="NLB13" s="15"/>
      <c r="NLC13" s="15"/>
      <c r="NLN13" s="15"/>
      <c r="NLO13" s="15"/>
      <c r="NLP13" s="15"/>
      <c r="NMA13" s="15"/>
      <c r="NMB13" s="15"/>
      <c r="NMC13" s="15"/>
      <c r="NMN13" s="15"/>
      <c r="NMO13" s="15"/>
      <c r="NMP13" s="15"/>
      <c r="NNA13" s="15"/>
      <c r="NNB13" s="15"/>
      <c r="NNC13" s="15"/>
      <c r="NNN13" s="15"/>
      <c r="NNO13" s="15"/>
      <c r="NNP13" s="15"/>
      <c r="NOA13" s="15"/>
      <c r="NOB13" s="15"/>
      <c r="NOC13" s="15"/>
      <c r="NON13" s="15"/>
      <c r="NOO13" s="15"/>
      <c r="NOP13" s="15"/>
      <c r="NPA13" s="15"/>
      <c r="NPB13" s="15"/>
      <c r="NPC13" s="15"/>
      <c r="NPN13" s="15"/>
      <c r="NPO13" s="15"/>
      <c r="NPP13" s="15"/>
      <c r="NQA13" s="15"/>
      <c r="NQB13" s="15"/>
      <c r="NQC13" s="15"/>
      <c r="NQN13" s="15"/>
      <c r="NQO13" s="15"/>
      <c r="NQP13" s="15"/>
      <c r="NRA13" s="15"/>
      <c r="NRB13" s="15"/>
      <c r="NRC13" s="15"/>
      <c r="NRN13" s="15"/>
      <c r="NRO13" s="15"/>
      <c r="NRP13" s="15"/>
      <c r="NSA13" s="15"/>
      <c r="NSB13" s="15"/>
      <c r="NSC13" s="15"/>
      <c r="NSN13" s="15"/>
      <c r="NSO13" s="15"/>
      <c r="NSP13" s="15"/>
      <c r="NTA13" s="15"/>
      <c r="NTB13" s="15"/>
      <c r="NTC13" s="15"/>
      <c r="NTN13" s="15"/>
      <c r="NTO13" s="15"/>
      <c r="NTP13" s="15"/>
      <c r="NUA13" s="15"/>
      <c r="NUB13" s="15"/>
      <c r="NUC13" s="15"/>
      <c r="NUN13" s="15"/>
      <c r="NUO13" s="15"/>
      <c r="NUP13" s="15"/>
      <c r="NVA13" s="15"/>
      <c r="NVB13" s="15"/>
      <c r="NVC13" s="15"/>
      <c r="NVN13" s="15"/>
      <c r="NVO13" s="15"/>
      <c r="NVP13" s="15"/>
      <c r="NWA13" s="15"/>
      <c r="NWB13" s="15"/>
      <c r="NWC13" s="15"/>
      <c r="NWN13" s="15"/>
      <c r="NWO13" s="15"/>
      <c r="NWP13" s="15"/>
      <c r="NXA13" s="15"/>
      <c r="NXB13" s="15"/>
      <c r="NXC13" s="15"/>
      <c r="NXN13" s="15"/>
      <c r="NXO13" s="15"/>
      <c r="NXP13" s="15"/>
      <c r="NYA13" s="15"/>
      <c r="NYB13" s="15"/>
      <c r="NYC13" s="15"/>
      <c r="NYN13" s="15"/>
      <c r="NYO13" s="15"/>
      <c r="NYP13" s="15"/>
      <c r="NZA13" s="15"/>
      <c r="NZB13" s="15"/>
      <c r="NZC13" s="15"/>
      <c r="NZN13" s="15"/>
      <c r="NZO13" s="15"/>
      <c r="NZP13" s="15"/>
      <c r="OAA13" s="15"/>
      <c r="OAB13" s="15"/>
      <c r="OAC13" s="15"/>
      <c r="OAN13" s="15"/>
      <c r="OAO13" s="15"/>
      <c r="OAP13" s="15"/>
      <c r="OBA13" s="15"/>
      <c r="OBB13" s="15"/>
      <c r="OBC13" s="15"/>
      <c r="OBN13" s="15"/>
      <c r="OBO13" s="15"/>
      <c r="OBP13" s="15"/>
      <c r="OCA13" s="15"/>
      <c r="OCB13" s="15"/>
      <c r="OCC13" s="15"/>
      <c r="OCN13" s="15"/>
      <c r="OCO13" s="15"/>
      <c r="OCP13" s="15"/>
      <c r="ODA13" s="15"/>
      <c r="ODB13" s="15"/>
      <c r="ODC13" s="15"/>
      <c r="ODN13" s="15"/>
      <c r="ODO13" s="15"/>
      <c r="ODP13" s="15"/>
      <c r="OEA13" s="15"/>
      <c r="OEB13" s="15"/>
      <c r="OEC13" s="15"/>
      <c r="OEN13" s="15"/>
      <c r="OEO13" s="15"/>
      <c r="OEP13" s="15"/>
      <c r="OFA13" s="15"/>
      <c r="OFB13" s="15"/>
      <c r="OFC13" s="15"/>
      <c r="OFN13" s="15"/>
      <c r="OFO13" s="15"/>
      <c r="OFP13" s="15"/>
      <c r="OGA13" s="15"/>
      <c r="OGB13" s="15"/>
      <c r="OGC13" s="15"/>
      <c r="OGN13" s="15"/>
      <c r="OGO13" s="15"/>
      <c r="OGP13" s="15"/>
      <c r="OHA13" s="15"/>
      <c r="OHB13" s="15"/>
      <c r="OHC13" s="15"/>
      <c r="OHN13" s="15"/>
      <c r="OHO13" s="15"/>
      <c r="OHP13" s="15"/>
      <c r="OIA13" s="15"/>
      <c r="OIB13" s="15"/>
      <c r="OIC13" s="15"/>
      <c r="OIN13" s="15"/>
      <c r="OIO13" s="15"/>
      <c r="OIP13" s="15"/>
      <c r="OJA13" s="15"/>
      <c r="OJB13" s="15"/>
      <c r="OJC13" s="15"/>
      <c r="OJN13" s="15"/>
      <c r="OJO13" s="15"/>
      <c r="OJP13" s="15"/>
      <c r="OKA13" s="15"/>
      <c r="OKB13" s="15"/>
      <c r="OKC13" s="15"/>
      <c r="OKN13" s="15"/>
      <c r="OKO13" s="15"/>
      <c r="OKP13" s="15"/>
      <c r="OLA13" s="15"/>
      <c r="OLB13" s="15"/>
      <c r="OLC13" s="15"/>
      <c r="OLN13" s="15"/>
      <c r="OLO13" s="15"/>
      <c r="OLP13" s="15"/>
      <c r="OMA13" s="15"/>
      <c r="OMB13" s="15"/>
      <c r="OMC13" s="15"/>
      <c r="OMN13" s="15"/>
      <c r="OMO13" s="15"/>
      <c r="OMP13" s="15"/>
      <c r="ONA13" s="15"/>
      <c r="ONB13" s="15"/>
      <c r="ONC13" s="15"/>
      <c r="ONN13" s="15"/>
      <c r="ONO13" s="15"/>
      <c r="ONP13" s="15"/>
      <c r="OOA13" s="15"/>
      <c r="OOB13" s="15"/>
      <c r="OOC13" s="15"/>
      <c r="OON13" s="15"/>
      <c r="OOO13" s="15"/>
      <c r="OOP13" s="15"/>
      <c r="OPA13" s="15"/>
      <c r="OPB13" s="15"/>
      <c r="OPC13" s="15"/>
      <c r="OPN13" s="15"/>
      <c r="OPO13" s="15"/>
      <c r="OPP13" s="15"/>
      <c r="OQA13" s="15"/>
      <c r="OQB13" s="15"/>
      <c r="OQC13" s="15"/>
      <c r="OQN13" s="15"/>
      <c r="OQO13" s="15"/>
      <c r="OQP13" s="15"/>
      <c r="ORA13" s="15"/>
      <c r="ORB13" s="15"/>
      <c r="ORC13" s="15"/>
      <c r="ORN13" s="15"/>
      <c r="ORO13" s="15"/>
      <c r="ORP13" s="15"/>
      <c r="OSA13" s="15"/>
      <c r="OSB13" s="15"/>
      <c r="OSC13" s="15"/>
      <c r="OSN13" s="15"/>
      <c r="OSO13" s="15"/>
      <c r="OSP13" s="15"/>
      <c r="OTA13" s="15"/>
      <c r="OTB13" s="15"/>
      <c r="OTC13" s="15"/>
      <c r="OTN13" s="15"/>
      <c r="OTO13" s="15"/>
      <c r="OTP13" s="15"/>
      <c r="OUA13" s="15"/>
      <c r="OUB13" s="15"/>
      <c r="OUC13" s="15"/>
      <c r="OUN13" s="15"/>
      <c r="OUO13" s="15"/>
      <c r="OUP13" s="15"/>
      <c r="OVA13" s="15"/>
      <c r="OVB13" s="15"/>
      <c r="OVC13" s="15"/>
      <c r="OVN13" s="15"/>
      <c r="OVO13" s="15"/>
      <c r="OVP13" s="15"/>
      <c r="OWA13" s="15"/>
      <c r="OWB13" s="15"/>
      <c r="OWC13" s="15"/>
      <c r="OWN13" s="15"/>
      <c r="OWO13" s="15"/>
      <c r="OWP13" s="15"/>
      <c r="OXA13" s="15"/>
      <c r="OXB13" s="15"/>
      <c r="OXC13" s="15"/>
      <c r="OXN13" s="15"/>
      <c r="OXO13" s="15"/>
      <c r="OXP13" s="15"/>
      <c r="OYA13" s="15"/>
      <c r="OYB13" s="15"/>
      <c r="OYC13" s="15"/>
      <c r="OYN13" s="15"/>
      <c r="OYO13" s="15"/>
      <c r="OYP13" s="15"/>
      <c r="OZA13" s="15"/>
      <c r="OZB13" s="15"/>
      <c r="OZC13" s="15"/>
      <c r="OZN13" s="15"/>
      <c r="OZO13" s="15"/>
      <c r="OZP13" s="15"/>
      <c r="PAA13" s="15"/>
      <c r="PAB13" s="15"/>
      <c r="PAC13" s="15"/>
      <c r="PAN13" s="15"/>
      <c r="PAO13" s="15"/>
      <c r="PAP13" s="15"/>
      <c r="PBA13" s="15"/>
      <c r="PBB13" s="15"/>
      <c r="PBC13" s="15"/>
      <c r="PBN13" s="15"/>
      <c r="PBO13" s="15"/>
      <c r="PBP13" s="15"/>
      <c r="PCA13" s="15"/>
      <c r="PCB13" s="15"/>
      <c r="PCC13" s="15"/>
      <c r="PCN13" s="15"/>
      <c r="PCO13" s="15"/>
      <c r="PCP13" s="15"/>
      <c r="PDA13" s="15"/>
      <c r="PDB13" s="15"/>
      <c r="PDC13" s="15"/>
      <c r="PDN13" s="15"/>
      <c r="PDO13" s="15"/>
      <c r="PDP13" s="15"/>
      <c r="PEA13" s="15"/>
      <c r="PEB13" s="15"/>
      <c r="PEC13" s="15"/>
      <c r="PEN13" s="15"/>
      <c r="PEO13" s="15"/>
      <c r="PEP13" s="15"/>
      <c r="PFA13" s="15"/>
      <c r="PFB13" s="15"/>
      <c r="PFC13" s="15"/>
      <c r="PFN13" s="15"/>
      <c r="PFO13" s="15"/>
      <c r="PFP13" s="15"/>
      <c r="PGA13" s="15"/>
      <c r="PGB13" s="15"/>
      <c r="PGC13" s="15"/>
      <c r="PGN13" s="15"/>
      <c r="PGO13" s="15"/>
      <c r="PGP13" s="15"/>
      <c r="PHA13" s="15"/>
      <c r="PHB13" s="15"/>
      <c r="PHC13" s="15"/>
      <c r="PHN13" s="15"/>
      <c r="PHO13" s="15"/>
      <c r="PHP13" s="15"/>
      <c r="PIA13" s="15"/>
      <c r="PIB13" s="15"/>
      <c r="PIC13" s="15"/>
      <c r="PIN13" s="15"/>
      <c r="PIO13" s="15"/>
      <c r="PIP13" s="15"/>
      <c r="PJA13" s="15"/>
      <c r="PJB13" s="15"/>
      <c r="PJC13" s="15"/>
      <c r="PJN13" s="15"/>
      <c r="PJO13" s="15"/>
      <c r="PJP13" s="15"/>
      <c r="PKA13" s="15"/>
      <c r="PKB13" s="15"/>
      <c r="PKC13" s="15"/>
      <c r="PKN13" s="15"/>
      <c r="PKO13" s="15"/>
      <c r="PKP13" s="15"/>
      <c r="PLA13" s="15"/>
      <c r="PLB13" s="15"/>
      <c r="PLC13" s="15"/>
      <c r="PLN13" s="15"/>
      <c r="PLO13" s="15"/>
      <c r="PLP13" s="15"/>
      <c r="PMA13" s="15"/>
      <c r="PMB13" s="15"/>
      <c r="PMC13" s="15"/>
      <c r="PMN13" s="15"/>
      <c r="PMO13" s="15"/>
      <c r="PMP13" s="15"/>
      <c r="PNA13" s="15"/>
      <c r="PNB13" s="15"/>
      <c r="PNC13" s="15"/>
      <c r="PNN13" s="15"/>
      <c r="PNO13" s="15"/>
      <c r="PNP13" s="15"/>
      <c r="POA13" s="15"/>
      <c r="POB13" s="15"/>
      <c r="POC13" s="15"/>
      <c r="PON13" s="15"/>
      <c r="POO13" s="15"/>
      <c r="POP13" s="15"/>
      <c r="PPA13" s="15"/>
      <c r="PPB13" s="15"/>
      <c r="PPC13" s="15"/>
      <c r="PPN13" s="15"/>
      <c r="PPO13" s="15"/>
      <c r="PPP13" s="15"/>
      <c r="PQA13" s="15"/>
      <c r="PQB13" s="15"/>
      <c r="PQC13" s="15"/>
      <c r="PQN13" s="15"/>
      <c r="PQO13" s="15"/>
      <c r="PQP13" s="15"/>
      <c r="PRA13" s="15"/>
      <c r="PRB13" s="15"/>
      <c r="PRC13" s="15"/>
      <c r="PRN13" s="15"/>
      <c r="PRO13" s="15"/>
      <c r="PRP13" s="15"/>
      <c r="PSA13" s="15"/>
      <c r="PSB13" s="15"/>
      <c r="PSC13" s="15"/>
      <c r="PSN13" s="15"/>
      <c r="PSO13" s="15"/>
      <c r="PSP13" s="15"/>
      <c r="PTA13" s="15"/>
      <c r="PTB13" s="15"/>
      <c r="PTC13" s="15"/>
      <c r="PTN13" s="15"/>
      <c r="PTO13" s="15"/>
      <c r="PTP13" s="15"/>
      <c r="PUA13" s="15"/>
      <c r="PUB13" s="15"/>
      <c r="PUC13" s="15"/>
      <c r="PUN13" s="15"/>
      <c r="PUO13" s="15"/>
      <c r="PUP13" s="15"/>
      <c r="PVA13" s="15"/>
      <c r="PVB13" s="15"/>
      <c r="PVC13" s="15"/>
      <c r="PVN13" s="15"/>
      <c r="PVO13" s="15"/>
      <c r="PVP13" s="15"/>
      <c r="PWA13" s="15"/>
      <c r="PWB13" s="15"/>
      <c r="PWC13" s="15"/>
      <c r="PWN13" s="15"/>
      <c r="PWO13" s="15"/>
      <c r="PWP13" s="15"/>
      <c r="PXA13" s="15"/>
      <c r="PXB13" s="15"/>
      <c r="PXC13" s="15"/>
      <c r="PXN13" s="15"/>
      <c r="PXO13" s="15"/>
      <c r="PXP13" s="15"/>
      <c r="PYA13" s="15"/>
      <c r="PYB13" s="15"/>
      <c r="PYC13" s="15"/>
      <c r="PYN13" s="15"/>
      <c r="PYO13" s="15"/>
      <c r="PYP13" s="15"/>
      <c r="PZA13" s="15"/>
      <c r="PZB13" s="15"/>
      <c r="PZC13" s="15"/>
      <c r="PZN13" s="15"/>
      <c r="PZO13" s="15"/>
      <c r="PZP13" s="15"/>
      <c r="QAA13" s="15"/>
      <c r="QAB13" s="15"/>
      <c r="QAC13" s="15"/>
      <c r="QAN13" s="15"/>
      <c r="QAO13" s="15"/>
      <c r="QAP13" s="15"/>
      <c r="QBA13" s="15"/>
      <c r="QBB13" s="15"/>
      <c r="QBC13" s="15"/>
      <c r="QBN13" s="15"/>
      <c r="QBO13" s="15"/>
      <c r="QBP13" s="15"/>
      <c r="QCA13" s="15"/>
      <c r="QCB13" s="15"/>
      <c r="QCC13" s="15"/>
      <c r="QCN13" s="15"/>
      <c r="QCO13" s="15"/>
      <c r="QCP13" s="15"/>
      <c r="QDA13" s="15"/>
      <c r="QDB13" s="15"/>
      <c r="QDC13" s="15"/>
      <c r="QDN13" s="15"/>
      <c r="QDO13" s="15"/>
      <c r="QDP13" s="15"/>
      <c r="QEA13" s="15"/>
      <c r="QEB13" s="15"/>
      <c r="QEC13" s="15"/>
      <c r="QEN13" s="15"/>
      <c r="QEO13" s="15"/>
      <c r="QEP13" s="15"/>
      <c r="QFA13" s="15"/>
      <c r="QFB13" s="15"/>
      <c r="QFC13" s="15"/>
      <c r="QFN13" s="15"/>
      <c r="QFO13" s="15"/>
      <c r="QFP13" s="15"/>
      <c r="QGA13" s="15"/>
      <c r="QGB13" s="15"/>
      <c r="QGC13" s="15"/>
      <c r="QGN13" s="15"/>
      <c r="QGO13" s="15"/>
      <c r="QGP13" s="15"/>
      <c r="QHA13" s="15"/>
      <c r="QHB13" s="15"/>
      <c r="QHC13" s="15"/>
      <c r="QHN13" s="15"/>
      <c r="QHO13" s="15"/>
      <c r="QHP13" s="15"/>
      <c r="QIA13" s="15"/>
      <c r="QIB13" s="15"/>
      <c r="QIC13" s="15"/>
      <c r="QIN13" s="15"/>
      <c r="QIO13" s="15"/>
      <c r="QIP13" s="15"/>
      <c r="QJA13" s="15"/>
      <c r="QJB13" s="15"/>
      <c r="QJC13" s="15"/>
      <c r="QJN13" s="15"/>
      <c r="QJO13" s="15"/>
      <c r="QJP13" s="15"/>
      <c r="QKA13" s="15"/>
      <c r="QKB13" s="15"/>
      <c r="QKC13" s="15"/>
      <c r="QKN13" s="15"/>
      <c r="QKO13" s="15"/>
      <c r="QKP13" s="15"/>
      <c r="QLA13" s="15"/>
      <c r="QLB13" s="15"/>
      <c r="QLC13" s="15"/>
      <c r="QLN13" s="15"/>
      <c r="QLO13" s="15"/>
      <c r="QLP13" s="15"/>
      <c r="QMA13" s="15"/>
      <c r="QMB13" s="15"/>
      <c r="QMC13" s="15"/>
      <c r="QMN13" s="15"/>
      <c r="QMO13" s="15"/>
      <c r="QMP13" s="15"/>
      <c r="QNA13" s="15"/>
      <c r="QNB13" s="15"/>
      <c r="QNC13" s="15"/>
      <c r="QNN13" s="15"/>
      <c r="QNO13" s="15"/>
      <c r="QNP13" s="15"/>
      <c r="QOA13" s="15"/>
      <c r="QOB13" s="15"/>
      <c r="QOC13" s="15"/>
      <c r="QON13" s="15"/>
      <c r="QOO13" s="15"/>
      <c r="QOP13" s="15"/>
      <c r="QPA13" s="15"/>
      <c r="QPB13" s="15"/>
      <c r="QPC13" s="15"/>
      <c r="QPN13" s="15"/>
      <c r="QPO13" s="15"/>
      <c r="QPP13" s="15"/>
      <c r="QQA13" s="15"/>
      <c r="QQB13" s="15"/>
      <c r="QQC13" s="15"/>
      <c r="QQN13" s="15"/>
      <c r="QQO13" s="15"/>
      <c r="QQP13" s="15"/>
      <c r="QRA13" s="15"/>
      <c r="QRB13" s="15"/>
      <c r="QRC13" s="15"/>
      <c r="QRN13" s="15"/>
      <c r="QRO13" s="15"/>
      <c r="QRP13" s="15"/>
      <c r="QSA13" s="15"/>
      <c r="QSB13" s="15"/>
      <c r="QSC13" s="15"/>
      <c r="QSN13" s="15"/>
      <c r="QSO13" s="15"/>
      <c r="QSP13" s="15"/>
      <c r="QTA13" s="15"/>
      <c r="QTB13" s="15"/>
      <c r="QTC13" s="15"/>
      <c r="QTN13" s="15"/>
      <c r="QTO13" s="15"/>
      <c r="QTP13" s="15"/>
      <c r="QUA13" s="15"/>
      <c r="QUB13" s="15"/>
      <c r="QUC13" s="15"/>
      <c r="QUN13" s="15"/>
      <c r="QUO13" s="15"/>
      <c r="QUP13" s="15"/>
      <c r="QVA13" s="15"/>
      <c r="QVB13" s="15"/>
      <c r="QVC13" s="15"/>
      <c r="QVN13" s="15"/>
      <c r="QVO13" s="15"/>
      <c r="QVP13" s="15"/>
      <c r="QWA13" s="15"/>
      <c r="QWB13" s="15"/>
      <c r="QWC13" s="15"/>
      <c r="QWN13" s="15"/>
      <c r="QWO13" s="15"/>
      <c r="QWP13" s="15"/>
      <c r="QXA13" s="15"/>
      <c r="QXB13" s="15"/>
      <c r="QXC13" s="15"/>
      <c r="QXN13" s="15"/>
      <c r="QXO13" s="15"/>
      <c r="QXP13" s="15"/>
      <c r="QYA13" s="15"/>
      <c r="QYB13" s="15"/>
      <c r="QYC13" s="15"/>
      <c r="QYN13" s="15"/>
      <c r="QYO13" s="15"/>
      <c r="QYP13" s="15"/>
      <c r="QZA13" s="15"/>
      <c r="QZB13" s="15"/>
      <c r="QZC13" s="15"/>
      <c r="QZN13" s="15"/>
      <c r="QZO13" s="15"/>
      <c r="QZP13" s="15"/>
      <c r="RAA13" s="15"/>
      <c r="RAB13" s="15"/>
      <c r="RAC13" s="15"/>
      <c r="RAN13" s="15"/>
      <c r="RAO13" s="15"/>
      <c r="RAP13" s="15"/>
      <c r="RBA13" s="15"/>
      <c r="RBB13" s="15"/>
      <c r="RBC13" s="15"/>
      <c r="RBN13" s="15"/>
      <c r="RBO13" s="15"/>
      <c r="RBP13" s="15"/>
      <c r="RCA13" s="15"/>
      <c r="RCB13" s="15"/>
      <c r="RCC13" s="15"/>
      <c r="RCN13" s="15"/>
      <c r="RCO13" s="15"/>
      <c r="RCP13" s="15"/>
      <c r="RDA13" s="15"/>
      <c r="RDB13" s="15"/>
      <c r="RDC13" s="15"/>
      <c r="RDN13" s="15"/>
      <c r="RDO13" s="15"/>
      <c r="RDP13" s="15"/>
      <c r="REA13" s="15"/>
      <c r="REB13" s="15"/>
      <c r="REC13" s="15"/>
      <c r="REN13" s="15"/>
      <c r="REO13" s="15"/>
      <c r="REP13" s="15"/>
      <c r="RFA13" s="15"/>
      <c r="RFB13" s="15"/>
      <c r="RFC13" s="15"/>
      <c r="RFN13" s="15"/>
      <c r="RFO13" s="15"/>
      <c r="RFP13" s="15"/>
      <c r="RGA13" s="15"/>
      <c r="RGB13" s="15"/>
      <c r="RGC13" s="15"/>
      <c r="RGN13" s="15"/>
      <c r="RGO13" s="15"/>
      <c r="RGP13" s="15"/>
      <c r="RHA13" s="15"/>
      <c r="RHB13" s="15"/>
      <c r="RHC13" s="15"/>
      <c r="RHN13" s="15"/>
      <c r="RHO13" s="15"/>
      <c r="RHP13" s="15"/>
      <c r="RIA13" s="15"/>
      <c r="RIB13" s="15"/>
      <c r="RIC13" s="15"/>
      <c r="RIN13" s="15"/>
      <c r="RIO13" s="15"/>
      <c r="RIP13" s="15"/>
      <c r="RJA13" s="15"/>
      <c r="RJB13" s="15"/>
      <c r="RJC13" s="15"/>
      <c r="RJN13" s="15"/>
      <c r="RJO13" s="15"/>
      <c r="RJP13" s="15"/>
      <c r="RKA13" s="15"/>
      <c r="RKB13" s="15"/>
      <c r="RKC13" s="15"/>
      <c r="RKN13" s="15"/>
      <c r="RKO13" s="15"/>
      <c r="RKP13" s="15"/>
      <c r="RLA13" s="15"/>
      <c r="RLB13" s="15"/>
      <c r="RLC13" s="15"/>
      <c r="RLN13" s="15"/>
      <c r="RLO13" s="15"/>
      <c r="RLP13" s="15"/>
      <c r="RMA13" s="15"/>
      <c r="RMB13" s="15"/>
      <c r="RMC13" s="15"/>
      <c r="RMN13" s="15"/>
      <c r="RMO13" s="15"/>
      <c r="RMP13" s="15"/>
      <c r="RNA13" s="15"/>
      <c r="RNB13" s="15"/>
      <c r="RNC13" s="15"/>
      <c r="RNN13" s="15"/>
      <c r="RNO13" s="15"/>
      <c r="RNP13" s="15"/>
      <c r="ROA13" s="15"/>
      <c r="ROB13" s="15"/>
      <c r="ROC13" s="15"/>
      <c r="RON13" s="15"/>
      <c r="ROO13" s="15"/>
      <c r="ROP13" s="15"/>
      <c r="RPA13" s="15"/>
      <c r="RPB13" s="15"/>
      <c r="RPC13" s="15"/>
      <c r="RPN13" s="15"/>
      <c r="RPO13" s="15"/>
      <c r="RPP13" s="15"/>
      <c r="RQA13" s="15"/>
      <c r="RQB13" s="15"/>
      <c r="RQC13" s="15"/>
      <c r="RQN13" s="15"/>
      <c r="RQO13" s="15"/>
      <c r="RQP13" s="15"/>
      <c r="RRA13" s="15"/>
      <c r="RRB13" s="15"/>
      <c r="RRC13" s="15"/>
      <c r="RRN13" s="15"/>
      <c r="RRO13" s="15"/>
      <c r="RRP13" s="15"/>
      <c r="RSA13" s="15"/>
      <c r="RSB13" s="15"/>
      <c r="RSC13" s="15"/>
      <c r="RSN13" s="15"/>
      <c r="RSO13" s="15"/>
      <c r="RSP13" s="15"/>
      <c r="RTA13" s="15"/>
      <c r="RTB13" s="15"/>
      <c r="RTC13" s="15"/>
      <c r="RTN13" s="15"/>
      <c r="RTO13" s="15"/>
      <c r="RTP13" s="15"/>
      <c r="RUA13" s="15"/>
      <c r="RUB13" s="15"/>
      <c r="RUC13" s="15"/>
      <c r="RUN13" s="15"/>
      <c r="RUO13" s="15"/>
      <c r="RUP13" s="15"/>
      <c r="RVA13" s="15"/>
      <c r="RVB13" s="15"/>
      <c r="RVC13" s="15"/>
      <c r="RVN13" s="15"/>
      <c r="RVO13" s="15"/>
      <c r="RVP13" s="15"/>
      <c r="RWA13" s="15"/>
      <c r="RWB13" s="15"/>
      <c r="RWC13" s="15"/>
      <c r="RWN13" s="15"/>
      <c r="RWO13" s="15"/>
      <c r="RWP13" s="15"/>
      <c r="RXA13" s="15"/>
      <c r="RXB13" s="15"/>
      <c r="RXC13" s="15"/>
      <c r="RXN13" s="15"/>
      <c r="RXO13" s="15"/>
      <c r="RXP13" s="15"/>
      <c r="RYA13" s="15"/>
      <c r="RYB13" s="15"/>
      <c r="RYC13" s="15"/>
      <c r="RYN13" s="15"/>
      <c r="RYO13" s="15"/>
      <c r="RYP13" s="15"/>
      <c r="RZA13" s="15"/>
      <c r="RZB13" s="15"/>
      <c r="RZC13" s="15"/>
      <c r="RZN13" s="15"/>
      <c r="RZO13" s="15"/>
      <c r="RZP13" s="15"/>
      <c r="SAA13" s="15"/>
      <c r="SAB13" s="15"/>
      <c r="SAC13" s="15"/>
      <c r="SAN13" s="15"/>
      <c r="SAO13" s="15"/>
      <c r="SAP13" s="15"/>
      <c r="SBA13" s="15"/>
      <c r="SBB13" s="15"/>
      <c r="SBC13" s="15"/>
      <c r="SBN13" s="15"/>
      <c r="SBO13" s="15"/>
      <c r="SBP13" s="15"/>
      <c r="SCA13" s="15"/>
      <c r="SCB13" s="15"/>
      <c r="SCC13" s="15"/>
      <c r="SCN13" s="15"/>
      <c r="SCO13" s="15"/>
      <c r="SCP13" s="15"/>
      <c r="SDA13" s="15"/>
      <c r="SDB13" s="15"/>
      <c r="SDC13" s="15"/>
      <c r="SDN13" s="15"/>
      <c r="SDO13" s="15"/>
      <c r="SDP13" s="15"/>
      <c r="SEA13" s="15"/>
      <c r="SEB13" s="15"/>
      <c r="SEC13" s="15"/>
      <c r="SEN13" s="15"/>
      <c r="SEO13" s="15"/>
      <c r="SEP13" s="15"/>
      <c r="SFA13" s="15"/>
      <c r="SFB13" s="15"/>
      <c r="SFC13" s="15"/>
      <c r="SFN13" s="15"/>
      <c r="SFO13" s="15"/>
      <c r="SFP13" s="15"/>
      <c r="SGA13" s="15"/>
      <c r="SGB13" s="15"/>
      <c r="SGC13" s="15"/>
      <c r="SGN13" s="15"/>
      <c r="SGO13" s="15"/>
      <c r="SGP13" s="15"/>
      <c r="SHA13" s="15"/>
      <c r="SHB13" s="15"/>
      <c r="SHC13" s="15"/>
      <c r="SHN13" s="15"/>
      <c r="SHO13" s="15"/>
      <c r="SHP13" s="15"/>
      <c r="SIA13" s="15"/>
      <c r="SIB13" s="15"/>
      <c r="SIC13" s="15"/>
      <c r="SIN13" s="15"/>
      <c r="SIO13" s="15"/>
      <c r="SIP13" s="15"/>
      <c r="SJA13" s="15"/>
      <c r="SJB13" s="15"/>
      <c r="SJC13" s="15"/>
      <c r="SJN13" s="15"/>
      <c r="SJO13" s="15"/>
      <c r="SJP13" s="15"/>
      <c r="SKA13" s="15"/>
      <c r="SKB13" s="15"/>
      <c r="SKC13" s="15"/>
      <c r="SKN13" s="15"/>
      <c r="SKO13" s="15"/>
      <c r="SKP13" s="15"/>
      <c r="SLA13" s="15"/>
      <c r="SLB13" s="15"/>
      <c r="SLC13" s="15"/>
      <c r="SLN13" s="15"/>
      <c r="SLO13" s="15"/>
      <c r="SLP13" s="15"/>
      <c r="SMA13" s="15"/>
      <c r="SMB13" s="15"/>
      <c r="SMC13" s="15"/>
      <c r="SMN13" s="15"/>
      <c r="SMO13" s="15"/>
      <c r="SMP13" s="15"/>
      <c r="SNA13" s="15"/>
      <c r="SNB13" s="15"/>
      <c r="SNC13" s="15"/>
      <c r="SNN13" s="15"/>
      <c r="SNO13" s="15"/>
      <c r="SNP13" s="15"/>
      <c r="SOA13" s="15"/>
      <c r="SOB13" s="15"/>
      <c r="SOC13" s="15"/>
      <c r="SON13" s="15"/>
      <c r="SOO13" s="15"/>
      <c r="SOP13" s="15"/>
      <c r="SPA13" s="15"/>
      <c r="SPB13" s="15"/>
      <c r="SPC13" s="15"/>
      <c r="SPN13" s="15"/>
      <c r="SPO13" s="15"/>
      <c r="SPP13" s="15"/>
      <c r="SQA13" s="15"/>
      <c r="SQB13" s="15"/>
      <c r="SQC13" s="15"/>
      <c r="SQN13" s="15"/>
      <c r="SQO13" s="15"/>
      <c r="SQP13" s="15"/>
      <c r="SRA13" s="15"/>
      <c r="SRB13" s="15"/>
      <c r="SRC13" s="15"/>
      <c r="SRN13" s="15"/>
      <c r="SRO13" s="15"/>
      <c r="SRP13" s="15"/>
      <c r="SSA13" s="15"/>
      <c r="SSB13" s="15"/>
      <c r="SSC13" s="15"/>
      <c r="SSN13" s="15"/>
      <c r="SSO13" s="15"/>
      <c r="SSP13" s="15"/>
      <c r="STA13" s="15"/>
      <c r="STB13" s="15"/>
      <c r="STC13" s="15"/>
      <c r="STN13" s="15"/>
      <c r="STO13" s="15"/>
      <c r="STP13" s="15"/>
      <c r="SUA13" s="15"/>
      <c r="SUB13" s="15"/>
      <c r="SUC13" s="15"/>
      <c r="SUN13" s="15"/>
      <c r="SUO13" s="15"/>
      <c r="SUP13" s="15"/>
      <c r="SVA13" s="15"/>
      <c r="SVB13" s="15"/>
      <c r="SVC13" s="15"/>
      <c r="SVN13" s="15"/>
      <c r="SVO13" s="15"/>
      <c r="SVP13" s="15"/>
      <c r="SWA13" s="15"/>
      <c r="SWB13" s="15"/>
      <c r="SWC13" s="15"/>
      <c r="SWN13" s="15"/>
      <c r="SWO13" s="15"/>
      <c r="SWP13" s="15"/>
      <c r="SXA13" s="15"/>
      <c r="SXB13" s="15"/>
      <c r="SXC13" s="15"/>
      <c r="SXN13" s="15"/>
      <c r="SXO13" s="15"/>
      <c r="SXP13" s="15"/>
      <c r="SYA13" s="15"/>
      <c r="SYB13" s="15"/>
      <c r="SYC13" s="15"/>
      <c r="SYN13" s="15"/>
      <c r="SYO13" s="15"/>
      <c r="SYP13" s="15"/>
      <c r="SZA13" s="15"/>
      <c r="SZB13" s="15"/>
      <c r="SZC13" s="15"/>
      <c r="SZN13" s="15"/>
      <c r="SZO13" s="15"/>
      <c r="SZP13" s="15"/>
      <c r="TAA13" s="15"/>
      <c r="TAB13" s="15"/>
      <c r="TAC13" s="15"/>
      <c r="TAN13" s="15"/>
      <c r="TAO13" s="15"/>
      <c r="TAP13" s="15"/>
      <c r="TBA13" s="15"/>
      <c r="TBB13" s="15"/>
      <c r="TBC13" s="15"/>
      <c r="TBN13" s="15"/>
      <c r="TBO13" s="15"/>
      <c r="TBP13" s="15"/>
      <c r="TCA13" s="15"/>
      <c r="TCB13" s="15"/>
      <c r="TCC13" s="15"/>
      <c r="TCN13" s="15"/>
      <c r="TCO13" s="15"/>
      <c r="TCP13" s="15"/>
      <c r="TDA13" s="15"/>
      <c r="TDB13" s="15"/>
      <c r="TDC13" s="15"/>
      <c r="TDN13" s="15"/>
      <c r="TDO13" s="15"/>
      <c r="TDP13" s="15"/>
      <c r="TEA13" s="15"/>
      <c r="TEB13" s="15"/>
      <c r="TEC13" s="15"/>
      <c r="TEN13" s="15"/>
      <c r="TEO13" s="15"/>
      <c r="TEP13" s="15"/>
      <c r="TFA13" s="15"/>
      <c r="TFB13" s="15"/>
      <c r="TFC13" s="15"/>
      <c r="TFN13" s="15"/>
      <c r="TFO13" s="15"/>
      <c r="TFP13" s="15"/>
      <c r="TGA13" s="15"/>
      <c r="TGB13" s="15"/>
      <c r="TGC13" s="15"/>
      <c r="TGN13" s="15"/>
      <c r="TGO13" s="15"/>
      <c r="TGP13" s="15"/>
      <c r="THA13" s="15"/>
      <c r="THB13" s="15"/>
      <c r="THC13" s="15"/>
      <c r="THN13" s="15"/>
      <c r="THO13" s="15"/>
      <c r="THP13" s="15"/>
      <c r="TIA13" s="15"/>
      <c r="TIB13" s="15"/>
      <c r="TIC13" s="15"/>
      <c r="TIN13" s="15"/>
      <c r="TIO13" s="15"/>
      <c r="TIP13" s="15"/>
      <c r="TJA13" s="15"/>
      <c r="TJB13" s="15"/>
      <c r="TJC13" s="15"/>
      <c r="TJN13" s="15"/>
      <c r="TJO13" s="15"/>
      <c r="TJP13" s="15"/>
      <c r="TKA13" s="15"/>
      <c r="TKB13" s="15"/>
      <c r="TKC13" s="15"/>
      <c r="TKN13" s="15"/>
      <c r="TKO13" s="15"/>
      <c r="TKP13" s="15"/>
      <c r="TLA13" s="15"/>
      <c r="TLB13" s="15"/>
      <c r="TLC13" s="15"/>
      <c r="TLN13" s="15"/>
      <c r="TLO13" s="15"/>
      <c r="TLP13" s="15"/>
      <c r="TMA13" s="15"/>
      <c r="TMB13" s="15"/>
      <c r="TMC13" s="15"/>
      <c r="TMN13" s="15"/>
      <c r="TMO13" s="15"/>
      <c r="TMP13" s="15"/>
      <c r="TNA13" s="15"/>
      <c r="TNB13" s="15"/>
      <c r="TNC13" s="15"/>
      <c r="TNN13" s="15"/>
      <c r="TNO13" s="15"/>
      <c r="TNP13" s="15"/>
      <c r="TOA13" s="15"/>
      <c r="TOB13" s="15"/>
      <c r="TOC13" s="15"/>
      <c r="TON13" s="15"/>
      <c r="TOO13" s="15"/>
      <c r="TOP13" s="15"/>
      <c r="TPA13" s="15"/>
      <c r="TPB13" s="15"/>
      <c r="TPC13" s="15"/>
      <c r="TPN13" s="15"/>
      <c r="TPO13" s="15"/>
      <c r="TPP13" s="15"/>
      <c r="TQA13" s="15"/>
      <c r="TQB13" s="15"/>
      <c r="TQC13" s="15"/>
      <c r="TQN13" s="15"/>
      <c r="TQO13" s="15"/>
      <c r="TQP13" s="15"/>
      <c r="TRA13" s="15"/>
      <c r="TRB13" s="15"/>
      <c r="TRC13" s="15"/>
      <c r="TRN13" s="15"/>
      <c r="TRO13" s="15"/>
      <c r="TRP13" s="15"/>
      <c r="TSA13" s="15"/>
      <c r="TSB13" s="15"/>
      <c r="TSC13" s="15"/>
      <c r="TSN13" s="15"/>
      <c r="TSO13" s="15"/>
      <c r="TSP13" s="15"/>
      <c r="TTA13" s="15"/>
      <c r="TTB13" s="15"/>
      <c r="TTC13" s="15"/>
      <c r="TTN13" s="15"/>
      <c r="TTO13" s="15"/>
      <c r="TTP13" s="15"/>
      <c r="TUA13" s="15"/>
      <c r="TUB13" s="15"/>
      <c r="TUC13" s="15"/>
      <c r="TUN13" s="15"/>
      <c r="TUO13" s="15"/>
      <c r="TUP13" s="15"/>
      <c r="TVA13" s="15"/>
      <c r="TVB13" s="15"/>
      <c r="TVC13" s="15"/>
      <c r="TVN13" s="15"/>
      <c r="TVO13" s="15"/>
      <c r="TVP13" s="15"/>
      <c r="TWA13" s="15"/>
      <c r="TWB13" s="15"/>
      <c r="TWC13" s="15"/>
      <c r="TWN13" s="15"/>
      <c r="TWO13" s="15"/>
      <c r="TWP13" s="15"/>
      <c r="TXA13" s="15"/>
      <c r="TXB13" s="15"/>
      <c r="TXC13" s="15"/>
      <c r="TXN13" s="15"/>
      <c r="TXO13" s="15"/>
      <c r="TXP13" s="15"/>
      <c r="TYA13" s="15"/>
      <c r="TYB13" s="15"/>
      <c r="TYC13" s="15"/>
      <c r="TYN13" s="15"/>
      <c r="TYO13" s="15"/>
      <c r="TYP13" s="15"/>
      <c r="TZA13" s="15"/>
      <c r="TZB13" s="15"/>
      <c r="TZC13" s="15"/>
      <c r="TZN13" s="15"/>
      <c r="TZO13" s="15"/>
      <c r="TZP13" s="15"/>
      <c r="UAA13" s="15"/>
      <c r="UAB13" s="15"/>
      <c r="UAC13" s="15"/>
      <c r="UAN13" s="15"/>
      <c r="UAO13" s="15"/>
      <c r="UAP13" s="15"/>
      <c r="UBA13" s="15"/>
      <c r="UBB13" s="15"/>
      <c r="UBC13" s="15"/>
      <c r="UBN13" s="15"/>
      <c r="UBO13" s="15"/>
      <c r="UBP13" s="15"/>
      <c r="UCA13" s="15"/>
      <c r="UCB13" s="15"/>
      <c r="UCC13" s="15"/>
      <c r="UCN13" s="15"/>
      <c r="UCO13" s="15"/>
      <c r="UCP13" s="15"/>
      <c r="UDA13" s="15"/>
      <c r="UDB13" s="15"/>
      <c r="UDC13" s="15"/>
      <c r="UDN13" s="15"/>
      <c r="UDO13" s="15"/>
      <c r="UDP13" s="15"/>
      <c r="UEA13" s="15"/>
      <c r="UEB13" s="15"/>
      <c r="UEC13" s="15"/>
      <c r="UEN13" s="15"/>
      <c r="UEO13" s="15"/>
      <c r="UEP13" s="15"/>
      <c r="UFA13" s="15"/>
      <c r="UFB13" s="15"/>
      <c r="UFC13" s="15"/>
      <c r="UFN13" s="15"/>
      <c r="UFO13" s="15"/>
      <c r="UFP13" s="15"/>
      <c r="UGA13" s="15"/>
      <c r="UGB13" s="15"/>
      <c r="UGC13" s="15"/>
      <c r="UGN13" s="15"/>
      <c r="UGO13" s="15"/>
      <c r="UGP13" s="15"/>
      <c r="UHA13" s="15"/>
      <c r="UHB13" s="15"/>
      <c r="UHC13" s="15"/>
      <c r="UHN13" s="15"/>
      <c r="UHO13" s="15"/>
      <c r="UHP13" s="15"/>
      <c r="UIA13" s="15"/>
      <c r="UIB13" s="15"/>
      <c r="UIC13" s="15"/>
      <c r="UIN13" s="15"/>
      <c r="UIO13" s="15"/>
      <c r="UIP13" s="15"/>
      <c r="UJA13" s="15"/>
      <c r="UJB13" s="15"/>
      <c r="UJC13" s="15"/>
      <c r="UJN13" s="15"/>
      <c r="UJO13" s="15"/>
      <c r="UJP13" s="15"/>
      <c r="UKA13" s="15"/>
      <c r="UKB13" s="15"/>
      <c r="UKC13" s="15"/>
      <c r="UKN13" s="15"/>
      <c r="UKO13" s="15"/>
      <c r="UKP13" s="15"/>
      <c r="ULA13" s="15"/>
      <c r="ULB13" s="15"/>
      <c r="ULC13" s="15"/>
      <c r="ULN13" s="15"/>
      <c r="ULO13" s="15"/>
      <c r="ULP13" s="15"/>
      <c r="UMA13" s="15"/>
      <c r="UMB13" s="15"/>
      <c r="UMC13" s="15"/>
      <c r="UMN13" s="15"/>
      <c r="UMO13" s="15"/>
      <c r="UMP13" s="15"/>
      <c r="UNA13" s="15"/>
      <c r="UNB13" s="15"/>
      <c r="UNC13" s="15"/>
      <c r="UNN13" s="15"/>
      <c r="UNO13" s="15"/>
      <c r="UNP13" s="15"/>
      <c r="UOA13" s="15"/>
      <c r="UOB13" s="15"/>
      <c r="UOC13" s="15"/>
      <c r="UON13" s="15"/>
      <c r="UOO13" s="15"/>
      <c r="UOP13" s="15"/>
      <c r="UPA13" s="15"/>
      <c r="UPB13" s="15"/>
      <c r="UPC13" s="15"/>
      <c r="UPN13" s="15"/>
      <c r="UPO13" s="15"/>
      <c r="UPP13" s="15"/>
      <c r="UQA13" s="15"/>
      <c r="UQB13" s="15"/>
      <c r="UQC13" s="15"/>
      <c r="UQN13" s="15"/>
      <c r="UQO13" s="15"/>
      <c r="UQP13" s="15"/>
      <c r="URA13" s="15"/>
      <c r="URB13" s="15"/>
      <c r="URC13" s="15"/>
      <c r="URN13" s="15"/>
      <c r="URO13" s="15"/>
      <c r="URP13" s="15"/>
      <c r="USA13" s="15"/>
      <c r="USB13" s="15"/>
      <c r="USC13" s="15"/>
      <c r="USN13" s="15"/>
      <c r="USO13" s="15"/>
      <c r="USP13" s="15"/>
      <c r="UTA13" s="15"/>
      <c r="UTB13" s="15"/>
      <c r="UTC13" s="15"/>
      <c r="UTN13" s="15"/>
      <c r="UTO13" s="15"/>
      <c r="UTP13" s="15"/>
      <c r="UUA13" s="15"/>
      <c r="UUB13" s="15"/>
      <c r="UUC13" s="15"/>
      <c r="UUN13" s="15"/>
      <c r="UUO13" s="15"/>
      <c r="UUP13" s="15"/>
      <c r="UVA13" s="15"/>
      <c r="UVB13" s="15"/>
      <c r="UVC13" s="15"/>
      <c r="UVN13" s="15"/>
      <c r="UVO13" s="15"/>
      <c r="UVP13" s="15"/>
      <c r="UWA13" s="15"/>
      <c r="UWB13" s="15"/>
      <c r="UWC13" s="15"/>
      <c r="UWN13" s="15"/>
      <c r="UWO13" s="15"/>
      <c r="UWP13" s="15"/>
      <c r="UXA13" s="15"/>
      <c r="UXB13" s="15"/>
      <c r="UXC13" s="15"/>
      <c r="UXN13" s="15"/>
      <c r="UXO13" s="15"/>
      <c r="UXP13" s="15"/>
      <c r="UYA13" s="15"/>
      <c r="UYB13" s="15"/>
      <c r="UYC13" s="15"/>
      <c r="UYN13" s="15"/>
      <c r="UYO13" s="15"/>
      <c r="UYP13" s="15"/>
      <c r="UZA13" s="15"/>
      <c r="UZB13" s="15"/>
      <c r="UZC13" s="15"/>
      <c r="UZN13" s="15"/>
      <c r="UZO13" s="15"/>
      <c r="UZP13" s="15"/>
      <c r="VAA13" s="15"/>
      <c r="VAB13" s="15"/>
      <c r="VAC13" s="15"/>
      <c r="VAN13" s="15"/>
      <c r="VAO13" s="15"/>
      <c r="VAP13" s="15"/>
      <c r="VBA13" s="15"/>
      <c r="VBB13" s="15"/>
      <c r="VBC13" s="15"/>
      <c r="VBN13" s="15"/>
      <c r="VBO13" s="15"/>
      <c r="VBP13" s="15"/>
      <c r="VCA13" s="15"/>
      <c r="VCB13" s="15"/>
      <c r="VCC13" s="15"/>
      <c r="VCN13" s="15"/>
      <c r="VCO13" s="15"/>
      <c r="VCP13" s="15"/>
      <c r="VDA13" s="15"/>
      <c r="VDB13" s="15"/>
      <c r="VDC13" s="15"/>
      <c r="VDN13" s="15"/>
      <c r="VDO13" s="15"/>
      <c r="VDP13" s="15"/>
      <c r="VEA13" s="15"/>
      <c r="VEB13" s="15"/>
      <c r="VEC13" s="15"/>
      <c r="VEN13" s="15"/>
      <c r="VEO13" s="15"/>
      <c r="VEP13" s="15"/>
      <c r="VFA13" s="15"/>
      <c r="VFB13" s="15"/>
      <c r="VFC13" s="15"/>
      <c r="VFN13" s="15"/>
      <c r="VFO13" s="15"/>
      <c r="VFP13" s="15"/>
      <c r="VGA13" s="15"/>
      <c r="VGB13" s="15"/>
      <c r="VGC13" s="15"/>
      <c r="VGN13" s="15"/>
      <c r="VGO13" s="15"/>
      <c r="VGP13" s="15"/>
      <c r="VHA13" s="15"/>
      <c r="VHB13" s="15"/>
      <c r="VHC13" s="15"/>
      <c r="VHN13" s="15"/>
      <c r="VHO13" s="15"/>
      <c r="VHP13" s="15"/>
      <c r="VIA13" s="15"/>
      <c r="VIB13" s="15"/>
      <c r="VIC13" s="15"/>
      <c r="VIN13" s="15"/>
      <c r="VIO13" s="15"/>
      <c r="VIP13" s="15"/>
      <c r="VJA13" s="15"/>
      <c r="VJB13" s="15"/>
      <c r="VJC13" s="15"/>
      <c r="VJN13" s="15"/>
      <c r="VJO13" s="15"/>
      <c r="VJP13" s="15"/>
      <c r="VKA13" s="15"/>
      <c r="VKB13" s="15"/>
      <c r="VKC13" s="15"/>
      <c r="VKN13" s="15"/>
      <c r="VKO13" s="15"/>
      <c r="VKP13" s="15"/>
      <c r="VLA13" s="15"/>
      <c r="VLB13" s="15"/>
      <c r="VLC13" s="15"/>
      <c r="VLN13" s="15"/>
      <c r="VLO13" s="15"/>
      <c r="VLP13" s="15"/>
      <c r="VMA13" s="15"/>
      <c r="VMB13" s="15"/>
      <c r="VMC13" s="15"/>
      <c r="VMN13" s="15"/>
      <c r="VMO13" s="15"/>
      <c r="VMP13" s="15"/>
      <c r="VNA13" s="15"/>
      <c r="VNB13" s="15"/>
      <c r="VNC13" s="15"/>
      <c r="VNN13" s="15"/>
      <c r="VNO13" s="15"/>
      <c r="VNP13" s="15"/>
      <c r="VOA13" s="15"/>
      <c r="VOB13" s="15"/>
      <c r="VOC13" s="15"/>
      <c r="VON13" s="15"/>
      <c r="VOO13" s="15"/>
      <c r="VOP13" s="15"/>
      <c r="VPA13" s="15"/>
      <c r="VPB13" s="15"/>
      <c r="VPC13" s="15"/>
      <c r="VPN13" s="15"/>
      <c r="VPO13" s="15"/>
      <c r="VPP13" s="15"/>
      <c r="VQA13" s="15"/>
      <c r="VQB13" s="15"/>
      <c r="VQC13" s="15"/>
      <c r="VQN13" s="15"/>
      <c r="VQO13" s="15"/>
      <c r="VQP13" s="15"/>
      <c r="VRA13" s="15"/>
      <c r="VRB13" s="15"/>
      <c r="VRC13" s="15"/>
      <c r="VRN13" s="15"/>
      <c r="VRO13" s="15"/>
      <c r="VRP13" s="15"/>
      <c r="VSA13" s="15"/>
      <c r="VSB13" s="15"/>
      <c r="VSC13" s="15"/>
      <c r="VSN13" s="15"/>
      <c r="VSO13" s="15"/>
      <c r="VSP13" s="15"/>
      <c r="VTA13" s="15"/>
      <c r="VTB13" s="15"/>
      <c r="VTC13" s="15"/>
      <c r="VTN13" s="15"/>
      <c r="VTO13" s="15"/>
      <c r="VTP13" s="15"/>
      <c r="VUA13" s="15"/>
      <c r="VUB13" s="15"/>
      <c r="VUC13" s="15"/>
      <c r="VUN13" s="15"/>
      <c r="VUO13" s="15"/>
      <c r="VUP13" s="15"/>
      <c r="VVA13" s="15"/>
      <c r="VVB13" s="15"/>
      <c r="VVC13" s="15"/>
      <c r="VVN13" s="15"/>
      <c r="VVO13" s="15"/>
      <c r="VVP13" s="15"/>
      <c r="VWA13" s="15"/>
      <c r="VWB13" s="15"/>
      <c r="VWC13" s="15"/>
      <c r="VWN13" s="15"/>
      <c r="VWO13" s="15"/>
      <c r="VWP13" s="15"/>
      <c r="VXA13" s="15"/>
      <c r="VXB13" s="15"/>
      <c r="VXC13" s="15"/>
      <c r="VXN13" s="15"/>
      <c r="VXO13" s="15"/>
      <c r="VXP13" s="15"/>
      <c r="VYA13" s="15"/>
      <c r="VYB13" s="15"/>
      <c r="VYC13" s="15"/>
      <c r="VYN13" s="15"/>
      <c r="VYO13" s="15"/>
      <c r="VYP13" s="15"/>
      <c r="VZA13" s="15"/>
      <c r="VZB13" s="15"/>
      <c r="VZC13" s="15"/>
      <c r="VZN13" s="15"/>
      <c r="VZO13" s="15"/>
      <c r="VZP13" s="15"/>
      <c r="WAA13" s="15"/>
      <c r="WAB13" s="15"/>
      <c r="WAC13" s="15"/>
      <c r="WAN13" s="15"/>
      <c r="WAO13" s="15"/>
      <c r="WAP13" s="15"/>
      <c r="WBA13" s="15"/>
      <c r="WBB13" s="15"/>
      <c r="WBC13" s="15"/>
      <c r="WBN13" s="15"/>
      <c r="WBO13" s="15"/>
      <c r="WBP13" s="15"/>
      <c r="WCA13" s="15"/>
      <c r="WCB13" s="15"/>
      <c r="WCC13" s="15"/>
      <c r="WCN13" s="15"/>
      <c r="WCO13" s="15"/>
      <c r="WCP13" s="15"/>
      <c r="WDA13" s="15"/>
      <c r="WDB13" s="15"/>
      <c r="WDC13" s="15"/>
      <c r="WDN13" s="15"/>
      <c r="WDO13" s="15"/>
      <c r="WDP13" s="15"/>
      <c r="WEA13" s="15"/>
      <c r="WEB13" s="15"/>
      <c r="WEC13" s="15"/>
      <c r="WEN13" s="15"/>
      <c r="WEO13" s="15"/>
      <c r="WEP13" s="15"/>
      <c r="WFA13" s="15"/>
      <c r="WFB13" s="15"/>
      <c r="WFC13" s="15"/>
      <c r="WFN13" s="15"/>
      <c r="WFO13" s="15"/>
      <c r="WFP13" s="15"/>
      <c r="WGA13" s="15"/>
      <c r="WGB13" s="15"/>
      <c r="WGC13" s="15"/>
      <c r="WGN13" s="15"/>
      <c r="WGO13" s="15"/>
      <c r="WGP13" s="15"/>
      <c r="WHA13" s="15"/>
      <c r="WHB13" s="15"/>
      <c r="WHC13" s="15"/>
      <c r="WHN13" s="15"/>
      <c r="WHO13" s="15"/>
      <c r="WHP13" s="15"/>
      <c r="WIA13" s="15"/>
      <c r="WIB13" s="15"/>
      <c r="WIC13" s="15"/>
      <c r="WIN13" s="15"/>
      <c r="WIO13" s="15"/>
      <c r="WIP13" s="15"/>
      <c r="WJA13" s="15"/>
      <c r="WJB13" s="15"/>
      <c r="WJC13" s="15"/>
      <c r="WJN13" s="15"/>
      <c r="WJO13" s="15"/>
      <c r="WJP13" s="15"/>
      <c r="WKA13" s="15"/>
      <c r="WKB13" s="15"/>
      <c r="WKC13" s="15"/>
      <c r="WKN13" s="15"/>
      <c r="WKO13" s="15"/>
      <c r="WKP13" s="15"/>
      <c r="WLA13" s="15"/>
      <c r="WLB13" s="15"/>
      <c r="WLC13" s="15"/>
      <c r="WLN13" s="15"/>
      <c r="WLO13" s="15"/>
      <c r="WLP13" s="15"/>
      <c r="WMA13" s="15"/>
      <c r="WMB13" s="15"/>
      <c r="WMC13" s="15"/>
      <c r="WMN13" s="15"/>
      <c r="WMO13" s="15"/>
      <c r="WMP13" s="15"/>
      <c r="WNA13" s="15"/>
      <c r="WNB13" s="15"/>
      <c r="WNC13" s="15"/>
      <c r="WNN13" s="15"/>
      <c r="WNO13" s="15"/>
      <c r="WNP13" s="15"/>
      <c r="WOA13" s="15"/>
      <c r="WOB13" s="15"/>
      <c r="WOC13" s="15"/>
      <c r="WON13" s="15"/>
      <c r="WOO13" s="15"/>
      <c r="WOP13" s="15"/>
      <c r="WPA13" s="15"/>
      <c r="WPB13" s="15"/>
      <c r="WPC13" s="15"/>
      <c r="WPN13" s="15"/>
      <c r="WPO13" s="15"/>
      <c r="WPP13" s="15"/>
      <c r="WQA13" s="15"/>
      <c r="WQB13" s="15"/>
      <c r="WQC13" s="15"/>
      <c r="WQN13" s="15"/>
      <c r="WQO13" s="15"/>
      <c r="WQP13" s="15"/>
      <c r="WRA13" s="15"/>
      <c r="WRB13" s="15"/>
      <c r="WRC13" s="15"/>
      <c r="WRN13" s="15"/>
      <c r="WRO13" s="15"/>
      <c r="WRP13" s="15"/>
      <c r="WSA13" s="15"/>
      <c r="WSB13" s="15"/>
      <c r="WSC13" s="15"/>
      <c r="WSN13" s="15"/>
      <c r="WSO13" s="15"/>
      <c r="WSP13" s="15"/>
      <c r="WTA13" s="15"/>
      <c r="WTB13" s="15"/>
      <c r="WTC13" s="15"/>
      <c r="WTN13" s="15"/>
      <c r="WTO13" s="15"/>
      <c r="WTP13" s="15"/>
      <c r="WUA13" s="15"/>
      <c r="WUB13" s="15"/>
      <c r="WUC13" s="15"/>
      <c r="WUN13" s="15"/>
      <c r="WUO13" s="15"/>
      <c r="WUP13" s="15"/>
      <c r="WVA13" s="15"/>
      <c r="WVB13" s="15"/>
      <c r="WVC13" s="15"/>
      <c r="WVN13" s="15"/>
      <c r="WVO13" s="15"/>
      <c r="WVP13" s="15"/>
      <c r="WWA13" s="15"/>
      <c r="WWB13" s="15"/>
      <c r="WWC13" s="15"/>
      <c r="WWN13" s="15"/>
      <c r="WWO13" s="15"/>
      <c r="WWP13" s="15"/>
      <c r="WXA13" s="15"/>
      <c r="WXB13" s="15"/>
      <c r="WXC13" s="15"/>
      <c r="WXN13" s="15"/>
      <c r="WXO13" s="15"/>
      <c r="WXP13" s="15"/>
      <c r="WYA13" s="15"/>
      <c r="WYB13" s="15"/>
      <c r="WYC13" s="15"/>
      <c r="WYN13" s="15"/>
      <c r="WYO13" s="15"/>
      <c r="WYP13" s="15"/>
      <c r="WZA13" s="15"/>
      <c r="WZB13" s="15"/>
      <c r="WZC13" s="15"/>
      <c r="WZN13" s="15"/>
      <c r="WZO13" s="15"/>
      <c r="WZP13" s="15"/>
      <c r="XAA13" s="15"/>
      <c r="XAB13" s="15"/>
      <c r="XAC13" s="15"/>
      <c r="XAN13" s="15"/>
      <c r="XAO13" s="15"/>
      <c r="XAP13" s="15"/>
      <c r="XBA13" s="15"/>
      <c r="XBB13" s="15"/>
      <c r="XBC13" s="15"/>
      <c r="XBN13" s="15"/>
      <c r="XBO13" s="15"/>
      <c r="XBP13" s="15"/>
      <c r="XCA13" s="15"/>
      <c r="XCB13" s="15"/>
      <c r="XCC13" s="15"/>
      <c r="XCN13" s="15"/>
      <c r="XCO13" s="15"/>
      <c r="XCP13" s="15"/>
      <c r="XDA13" s="15"/>
      <c r="XDB13" s="15"/>
      <c r="XDC13" s="15"/>
      <c r="XDN13" s="15"/>
      <c r="XDO13" s="15"/>
      <c r="XDP13" s="15"/>
      <c r="XEA13" s="15"/>
      <c r="XEB13" s="15"/>
      <c r="XEC13" s="15"/>
      <c r="XEN13" s="15"/>
      <c r="XEO13" s="15"/>
      <c r="XEP13" s="15"/>
      <c r="XFA13" s="15"/>
      <c r="XFB13" s="15"/>
      <c r="XFC13" s="15"/>
    </row>
    <row r="15" spans="1:1017 1028:2044 2055:3071 3082:5112 5123:6139 6150:7166 7177:9207 9218:10234 10245:11261 11272:12288 12299:13302 13313:14329 14340:15356 15367:16383" x14ac:dyDescent="0.25">
      <c r="B15" t="s">
        <v>63</v>
      </c>
      <c r="D15" s="17">
        <f>IFERROR(SUM('Data Sheet'!B23:B25),0)</f>
        <v>120.61000000000001</v>
      </c>
      <c r="E15" s="17">
        <f>IFERROR(SUM('Data Sheet'!C23:C25),0)</f>
        <v>117.75000000000001</v>
      </c>
      <c r="F15" s="17">
        <f>IFERROR(SUM('Data Sheet'!D23:D25),0)</f>
        <v>121.89999999999999</v>
      </c>
      <c r="G15" s="17">
        <f>IFERROR(SUM('Data Sheet'!E23:E25),0)</f>
        <v>121.41</v>
      </c>
      <c r="H15" s="17">
        <f>IFERROR(SUM('Data Sheet'!F23:F25),0)</f>
        <v>136.94</v>
      </c>
      <c r="I15" s="17">
        <f>IFERROR(SUM('Data Sheet'!G23:G25),0)</f>
        <v>147.22</v>
      </c>
      <c r="J15" s="17">
        <f>IFERROR(SUM('Data Sheet'!H23:H25),0)</f>
        <v>199.09</v>
      </c>
      <c r="K15" s="17">
        <f>IFERROR(SUM('Data Sheet'!I23:I25),0)</f>
        <v>206.89</v>
      </c>
      <c r="L15" s="17">
        <f>IFERROR(SUM('Data Sheet'!J23:J25),0)</f>
        <v>183.75</v>
      </c>
      <c r="M15" s="17">
        <f>IFERROR(SUM('Data Sheet'!K23:K25),0)</f>
        <v>151.06</v>
      </c>
      <c r="N15" s="17">
        <f>IFERROR(SUM('Data Sheet'!L23:L25),0)</f>
        <v>0</v>
      </c>
    </row>
    <row r="16" spans="1:1017 1028:2044 2055:3071 3082:5112 5123:6139 6150:7166 7177:9207 9218:10234 10245:11261 11272:12288 12299:13302 13313:14329 14340:15356 15367:16383" s="15" customFormat="1" x14ac:dyDescent="0.25">
      <c r="B16" s="15" t="s">
        <v>64</v>
      </c>
      <c r="D16" s="16">
        <f t="shared" ref="D16:N16" si="4">D15/D6</f>
        <v>0.17926309061993731</v>
      </c>
      <c r="E16" s="16">
        <f t="shared" si="4"/>
        <v>0.16778762575166009</v>
      </c>
      <c r="F16" s="16">
        <f t="shared" si="4"/>
        <v>0.15876530346444387</v>
      </c>
      <c r="G16" s="16">
        <f t="shared" si="4"/>
        <v>0.14880864833063687</v>
      </c>
      <c r="H16" s="16">
        <f t="shared" si="4"/>
        <v>0.16136406485671193</v>
      </c>
      <c r="I16" s="16">
        <f t="shared" si="4"/>
        <v>0.15679383134172575</v>
      </c>
      <c r="J16" s="16">
        <f t="shared" si="4"/>
        <v>0.17217998944901367</v>
      </c>
      <c r="K16" s="16">
        <f t="shared" si="4"/>
        <v>0.16600470195540362</v>
      </c>
      <c r="L16" s="16">
        <f t="shared" si="4"/>
        <v>0.18578058175862172</v>
      </c>
      <c r="M16" s="16">
        <f t="shared" si="4"/>
        <v>0.19019679437946188</v>
      </c>
      <c r="N16" s="16">
        <f t="shared" si="4"/>
        <v>0</v>
      </c>
    </row>
    <row r="18" spans="1:20" s="24" customFormat="1" x14ac:dyDescent="0.25">
      <c r="B18" s="53" t="s">
        <v>65</v>
      </c>
      <c r="C18" s="53"/>
      <c r="D18" s="54">
        <f t="shared" ref="D18:M18" si="5">D12-D15</f>
        <v>142.76999999999992</v>
      </c>
      <c r="E18" s="54">
        <f t="shared" si="5"/>
        <v>152.52999999999997</v>
      </c>
      <c r="F18" s="54">
        <f t="shared" si="5"/>
        <v>174.13</v>
      </c>
      <c r="G18" s="54">
        <f t="shared" si="5"/>
        <v>175.15000000000006</v>
      </c>
      <c r="H18" s="54">
        <f t="shared" si="5"/>
        <v>187.32</v>
      </c>
      <c r="I18" s="54">
        <f t="shared" si="5"/>
        <v>165.41000000000011</v>
      </c>
      <c r="J18" s="54">
        <f t="shared" si="5"/>
        <v>203.22999999999993</v>
      </c>
      <c r="K18" s="54">
        <f t="shared" si="5"/>
        <v>260.54999999999995</v>
      </c>
      <c r="L18" s="54">
        <f t="shared" si="5"/>
        <v>181.96000000000004</v>
      </c>
      <c r="M18" s="54">
        <f t="shared" si="5"/>
        <v>179.12</v>
      </c>
      <c r="N18" s="54"/>
    </row>
    <row r="19" spans="1:20" s="15" customFormat="1" x14ac:dyDescent="0.25">
      <c r="B19" s="15" t="s">
        <v>66</v>
      </c>
      <c r="D19" s="16">
        <f>IFERROR(D18/D6,0)</f>
        <v>0.21219958086235333</v>
      </c>
      <c r="E19" s="16">
        <f t="shared" ref="E19:N19" si="6">IFERROR(E18/E6,0)</f>
        <v>0.21734731682293593</v>
      </c>
      <c r="F19" s="16">
        <f t="shared" si="6"/>
        <v>0.22679083094555874</v>
      </c>
      <c r="G19" s="16">
        <f t="shared" si="6"/>
        <v>0.21467617786929458</v>
      </c>
      <c r="H19" s="16">
        <f t="shared" si="6"/>
        <v>0.22072963800904977</v>
      </c>
      <c r="I19" s="16">
        <f t="shared" si="6"/>
        <v>0.17616674121882134</v>
      </c>
      <c r="J19" s="16">
        <f t="shared" si="6"/>
        <v>0.17576040612649071</v>
      </c>
      <c r="K19" s="16">
        <f t="shared" si="6"/>
        <v>0.20906049153888739</v>
      </c>
      <c r="L19" s="16">
        <f t="shared" si="6"/>
        <v>0.1839708008533269</v>
      </c>
      <c r="M19" s="16">
        <f t="shared" si="6"/>
        <v>0.22552661067952609</v>
      </c>
      <c r="N19" s="16">
        <f t="shared" si="6"/>
        <v>0</v>
      </c>
    </row>
    <row r="20" spans="1:20" x14ac:dyDescent="0.25">
      <c r="B20" s="16"/>
    </row>
    <row r="21" spans="1:20" x14ac:dyDescent="0.25">
      <c r="B21" t="s">
        <v>23</v>
      </c>
      <c r="D21" s="17">
        <f>IFERROR('Data Sheet'!B27,0)</f>
        <v>0.9</v>
      </c>
      <c r="E21" s="17">
        <f>IFERROR('Data Sheet'!C27,0)</f>
        <v>0.87</v>
      </c>
      <c r="F21" s="17">
        <f>IFERROR('Data Sheet'!D27,0)</f>
        <v>0.67</v>
      </c>
      <c r="G21" s="17">
        <f>IFERROR('Data Sheet'!E27,0)</f>
        <v>0.56999999999999995</v>
      </c>
      <c r="H21" s="17">
        <f>IFERROR('Data Sheet'!F27,0)</f>
        <v>0.71</v>
      </c>
      <c r="I21" s="17">
        <f>IFERROR('Data Sheet'!G27,0)</f>
        <v>0.67</v>
      </c>
      <c r="J21" s="17">
        <f>IFERROR('Data Sheet'!H27,0)</f>
        <v>0.93</v>
      </c>
      <c r="K21" s="17">
        <f>IFERROR('Data Sheet'!I27,0)</f>
        <v>0.65</v>
      </c>
      <c r="L21" s="17">
        <f>IFERROR('Data Sheet'!J27,0)</f>
        <v>0.53</v>
      </c>
      <c r="M21" s="17">
        <f>IFERROR('Data Sheet'!K27,0)</f>
        <v>0.52</v>
      </c>
      <c r="N21" s="17">
        <f>IFERROR(SUM('Data Sheet'!H46:K46),0)</f>
        <v>0.43999999999999995</v>
      </c>
      <c r="T21">
        <f>(D18-D24)/D21</f>
        <v>132.1666666666666</v>
      </c>
    </row>
    <row r="22" spans="1:20" s="15" customFormat="1" x14ac:dyDescent="0.25">
      <c r="B22" s="15" t="s">
        <v>67</v>
      </c>
      <c r="D22" s="16">
        <f t="shared" ref="D22:N22" si="7">D21/D6</f>
        <v>1.3376733401703306E-3</v>
      </c>
      <c r="E22" s="16">
        <f t="shared" si="7"/>
        <v>1.2397047507765966E-3</v>
      </c>
      <c r="F22" s="16">
        <f t="shared" si="7"/>
        <v>8.72623078926804E-4</v>
      </c>
      <c r="G22" s="16">
        <f t="shared" si="7"/>
        <v>6.9863215178702742E-4</v>
      </c>
      <c r="H22" s="16">
        <f t="shared" si="7"/>
        <v>8.3663273001508291E-4</v>
      </c>
      <c r="I22" s="16">
        <f t="shared" si="7"/>
        <v>7.1357062219098131E-4</v>
      </c>
      <c r="J22" s="16">
        <f t="shared" si="7"/>
        <v>8.0429650001297257E-4</v>
      </c>
      <c r="K22" s="16">
        <f t="shared" si="7"/>
        <v>5.2154795432844691E-4</v>
      </c>
      <c r="L22" s="16">
        <f t="shared" si="7"/>
        <v>5.3585691609289536E-4</v>
      </c>
      <c r="M22" s="16">
        <f t="shared" si="7"/>
        <v>6.5472218375029899E-4</v>
      </c>
      <c r="N22" s="16">
        <f t="shared" si="7"/>
        <v>5.4768602653787739E-4</v>
      </c>
    </row>
    <row r="23" spans="1:20" x14ac:dyDescent="0.25">
      <c r="G23" t="s">
        <v>62</v>
      </c>
    </row>
    <row r="24" spans="1:20" x14ac:dyDescent="0.25">
      <c r="B24" t="s">
        <v>68</v>
      </c>
      <c r="D24" s="17">
        <f>IFERROR('Data Sheet'!B26,0)</f>
        <v>23.82</v>
      </c>
      <c r="E24" s="17">
        <f>IFERROR('Data Sheet'!C26,0)</f>
        <v>23.45</v>
      </c>
      <c r="F24" s="17">
        <f>IFERROR('Data Sheet'!D26,0)</f>
        <v>22.51</v>
      </c>
      <c r="G24" s="17">
        <f>IFERROR('Data Sheet'!E26,0)</f>
        <v>21.13</v>
      </c>
      <c r="H24" s="17">
        <f>IFERROR('Data Sheet'!F26,0)</f>
        <v>22.08</v>
      </c>
      <c r="I24" s="17">
        <f>IFERROR('Data Sheet'!G26,0)</f>
        <v>20.260000000000002</v>
      </c>
      <c r="J24" s="17">
        <f>IFERROR('Data Sheet'!H26,0)</f>
        <v>18.52</v>
      </c>
      <c r="K24" s="17">
        <f>IFERROR('Data Sheet'!I26,0)</f>
        <v>20.78</v>
      </c>
      <c r="L24" s="17">
        <f>IFERROR('Data Sheet'!J26,0)</f>
        <v>20.22</v>
      </c>
      <c r="M24" s="17">
        <f>IFERROR('Data Sheet'!K26,0)</f>
        <v>21.8</v>
      </c>
      <c r="N24" s="17">
        <f>IFERROR(SUM('Data Sheet'!H45:K45),0)</f>
        <v>22.340000000000003</v>
      </c>
    </row>
    <row r="25" spans="1:20" s="15" customFormat="1" x14ac:dyDescent="0.25">
      <c r="B25" s="15" t="s">
        <v>69</v>
      </c>
      <c r="D25" s="16">
        <f t="shared" ref="D25:N25" si="8">D24/D6</f>
        <v>3.5403754403174746E-2</v>
      </c>
      <c r="E25" s="16">
        <f t="shared" si="8"/>
        <v>3.3415030351392178E-2</v>
      </c>
      <c r="F25" s="16">
        <f t="shared" si="8"/>
        <v>2.931753060692889E-2</v>
      </c>
      <c r="G25" s="16">
        <f t="shared" si="8"/>
        <v>2.5898416433789283E-2</v>
      </c>
      <c r="H25" s="16">
        <f t="shared" si="8"/>
        <v>2.601809954751131E-2</v>
      </c>
      <c r="I25" s="16">
        <f t="shared" si="8"/>
        <v>2.1577523590431764E-2</v>
      </c>
      <c r="J25" s="16">
        <f t="shared" si="8"/>
        <v>1.6016743204559411E-2</v>
      </c>
      <c r="K25" s="16">
        <f t="shared" si="8"/>
        <v>1.6673486909146346E-2</v>
      </c>
      <c r="L25" s="16">
        <f t="shared" si="8"/>
        <v>2.0443446874336496E-2</v>
      </c>
      <c r="M25" s="16">
        <f t="shared" si="8"/>
        <v>2.7447968472608691E-2</v>
      </c>
      <c r="N25" s="16">
        <f t="shared" si="8"/>
        <v>2.7807513256491327E-2</v>
      </c>
    </row>
    <row r="27" spans="1:20" s="24" customFormat="1" x14ac:dyDescent="0.25">
      <c r="B27" s="53" t="s">
        <v>70</v>
      </c>
      <c r="C27" s="53"/>
      <c r="D27" s="54">
        <f>IFERROR(D18-SUM(D21,D24),0)</f>
        <v>118.04999999999993</v>
      </c>
      <c r="E27" s="54">
        <f t="shared" ref="E27:N27" si="9">IFERROR(E18-SUM(E21,E24),0)</f>
        <v>128.20999999999998</v>
      </c>
      <c r="F27" s="54">
        <f t="shared" si="9"/>
        <v>150.94999999999999</v>
      </c>
      <c r="G27" s="54">
        <f t="shared" si="9"/>
        <v>153.45000000000007</v>
      </c>
      <c r="H27" s="54">
        <f t="shared" si="9"/>
        <v>164.53</v>
      </c>
      <c r="I27" s="54">
        <f t="shared" si="9"/>
        <v>144.4800000000001</v>
      </c>
      <c r="J27" s="54">
        <f t="shared" si="9"/>
        <v>183.77999999999994</v>
      </c>
      <c r="K27" s="54">
        <f t="shared" si="9"/>
        <v>239.11999999999995</v>
      </c>
      <c r="L27" s="54">
        <f t="shared" si="9"/>
        <v>161.21000000000004</v>
      </c>
      <c r="M27" s="54">
        <f t="shared" si="9"/>
        <v>156.80000000000001</v>
      </c>
      <c r="N27" s="54">
        <f t="shared" si="9"/>
        <v>-22.780000000000005</v>
      </c>
    </row>
    <row r="28" spans="1:20" s="15" customFormat="1" x14ac:dyDescent="0.25">
      <c r="A28" s="15" t="s">
        <v>73</v>
      </c>
      <c r="B28" s="15" t="s">
        <v>71</v>
      </c>
      <c r="D28" s="16">
        <f t="shared" ref="D28:N28" si="10">D27/D6</f>
        <v>0.17545815311900825</v>
      </c>
      <c r="E28" s="16">
        <f t="shared" si="10"/>
        <v>0.18269258172076716</v>
      </c>
      <c r="F28" s="16">
        <f t="shared" si="10"/>
        <v>0.19660067725970304</v>
      </c>
      <c r="G28" s="16">
        <f t="shared" si="10"/>
        <v>0.18807912928371828</v>
      </c>
      <c r="H28" s="16">
        <f t="shared" si="10"/>
        <v>0.19387490573152338</v>
      </c>
      <c r="I28" s="16">
        <f t="shared" si="10"/>
        <v>0.15387564700619857</v>
      </c>
      <c r="J28" s="16">
        <f t="shared" si="10"/>
        <v>0.15893936642191833</v>
      </c>
      <c r="K28" s="16">
        <f t="shared" si="10"/>
        <v>0.19186545667541258</v>
      </c>
      <c r="L28" s="16">
        <f t="shared" si="10"/>
        <v>0.16299149706289751</v>
      </c>
      <c r="M28" s="16">
        <f t="shared" si="10"/>
        <v>0.19742392002316711</v>
      </c>
      <c r="N28" s="16">
        <f t="shared" si="10"/>
        <v>-2.8355199283029209E-2</v>
      </c>
    </row>
    <row r="30" spans="1:20" x14ac:dyDescent="0.25">
      <c r="B30" t="s">
        <v>25</v>
      </c>
      <c r="D30" s="17">
        <f>IFERROR('Data Sheet'!B29,0)</f>
        <v>26.24</v>
      </c>
      <c r="E30" s="17">
        <f>IFERROR('Data Sheet'!C29,0)</f>
        <v>30.33</v>
      </c>
      <c r="F30" s="17">
        <f>IFERROR('Data Sheet'!D29,0)</f>
        <v>32.93</v>
      </c>
      <c r="G30" s="17">
        <f>IFERROR('Data Sheet'!E29,0)</f>
        <v>29.16</v>
      </c>
      <c r="H30" s="17">
        <f>IFERROR('Data Sheet'!F29,0)</f>
        <v>23.91</v>
      </c>
      <c r="I30" s="17">
        <f>IFERROR('Data Sheet'!G29,0)</f>
        <v>17.47</v>
      </c>
      <c r="J30" s="17">
        <f>IFERROR('Data Sheet'!H29,0)</f>
        <v>25.53</v>
      </c>
      <c r="K30" s="17">
        <f>IFERROR('Data Sheet'!I29,0)</f>
        <v>30.31</v>
      </c>
      <c r="L30" s="17">
        <f>IFERROR('Data Sheet'!J29,0)</f>
        <v>31.52</v>
      </c>
      <c r="M30" s="17">
        <f>IFERROR('Data Sheet'!K29,0)</f>
        <v>27.76</v>
      </c>
      <c r="N30" s="17">
        <f>IFERROR(SUM('Data Sheet'!H48:K48),0)</f>
        <v>26.349999999999998</v>
      </c>
    </row>
    <row r="31" spans="1:20" s="15" customFormat="1" x14ac:dyDescent="0.25">
      <c r="B31" s="15" t="s">
        <v>72</v>
      </c>
      <c r="D31" s="16">
        <f>D30/D27</f>
        <v>0.22227869546802215</v>
      </c>
      <c r="E31" s="16">
        <f t="shared" ref="E31:N31" si="11">E30/E27</f>
        <v>0.23656501052959991</v>
      </c>
      <c r="F31" s="16">
        <f t="shared" si="11"/>
        <v>0.2181517058628685</v>
      </c>
      <c r="G31" s="16">
        <f t="shared" si="11"/>
        <v>0.1900293255131964</v>
      </c>
      <c r="H31" s="16">
        <f t="shared" si="11"/>
        <v>0.14532304139062785</v>
      </c>
      <c r="I31" s="16">
        <f t="shared" si="11"/>
        <v>0.12091638981173855</v>
      </c>
      <c r="J31" s="16">
        <f t="shared" si="11"/>
        <v>0.13891609533137453</v>
      </c>
      <c r="K31" s="16">
        <f t="shared" si="11"/>
        <v>0.12675644028103047</v>
      </c>
      <c r="L31" s="16">
        <f t="shared" si="11"/>
        <v>0.19552136964208172</v>
      </c>
      <c r="M31" s="16">
        <f t="shared" si="11"/>
        <v>0.1770408163265306</v>
      </c>
      <c r="N31" s="16">
        <f t="shared" si="11"/>
        <v>-1.1567164179104474</v>
      </c>
    </row>
    <row r="33" spans="1:14" s="24" customFormat="1" x14ac:dyDescent="0.25">
      <c r="B33" s="53" t="s">
        <v>74</v>
      </c>
      <c r="C33" s="53"/>
      <c r="D33" s="54">
        <f>D27-D30</f>
        <v>91.809999999999931</v>
      </c>
      <c r="E33" s="54">
        <f t="shared" ref="E33:N33" si="12">E27-E30</f>
        <v>97.879999999999981</v>
      </c>
      <c r="F33" s="54">
        <f t="shared" si="12"/>
        <v>118.01999999999998</v>
      </c>
      <c r="G33" s="54">
        <f t="shared" si="12"/>
        <v>124.29000000000008</v>
      </c>
      <c r="H33" s="54">
        <f t="shared" si="12"/>
        <v>140.62</v>
      </c>
      <c r="I33" s="54">
        <f t="shared" si="12"/>
        <v>127.0100000000001</v>
      </c>
      <c r="J33" s="54">
        <f t="shared" si="12"/>
        <v>158.24999999999994</v>
      </c>
      <c r="K33" s="54">
        <f t="shared" si="12"/>
        <v>208.80999999999995</v>
      </c>
      <c r="L33" s="54">
        <f t="shared" si="12"/>
        <v>129.69000000000003</v>
      </c>
      <c r="M33" s="54">
        <f t="shared" si="12"/>
        <v>129.04000000000002</v>
      </c>
      <c r="N33" s="54">
        <f t="shared" si="12"/>
        <v>-49.13</v>
      </c>
    </row>
    <row r="34" spans="1:14" s="15" customFormat="1" x14ac:dyDescent="0.25">
      <c r="B34" s="15" t="s">
        <v>75</v>
      </c>
      <c r="D34" s="16">
        <f t="shared" ref="D34:N34" si="13">D33/D6</f>
        <v>0.13645754373448662</v>
      </c>
      <c r="E34" s="16">
        <f t="shared" si="13"/>
        <v>0.13947390920231409</v>
      </c>
      <c r="F34" s="16">
        <f t="shared" si="13"/>
        <v>0.15371190414170355</v>
      </c>
      <c r="G34" s="16">
        <f t="shared" si="13"/>
        <v>0.15233857920282404</v>
      </c>
      <c r="H34" s="16">
        <f t="shared" si="13"/>
        <v>0.16570041478129713</v>
      </c>
      <c r="I34" s="16">
        <f t="shared" si="13"/>
        <v>0.1352695592902636</v>
      </c>
      <c r="J34" s="16">
        <f t="shared" si="13"/>
        <v>0.13686013024414287</v>
      </c>
      <c r="K34" s="16">
        <f t="shared" si="13"/>
        <v>0.16754527437434302</v>
      </c>
      <c r="L34" s="16">
        <f t="shared" si="13"/>
        <v>0.13112317631714643</v>
      </c>
      <c r="M34" s="16">
        <f t="shared" si="13"/>
        <v>0.16247182805988192</v>
      </c>
      <c r="N34" s="16">
        <f t="shared" si="13"/>
        <v>-6.1154123826831643E-2</v>
      </c>
    </row>
    <row r="36" spans="1:14" x14ac:dyDescent="0.25">
      <c r="B36" t="s">
        <v>76</v>
      </c>
      <c r="D36">
        <f>IFERROR('Data Sheet'!B93,0)</f>
        <v>1.01</v>
      </c>
      <c r="E36">
        <f>IFERROR('Data Sheet'!C93,0)</f>
        <v>1.01</v>
      </c>
      <c r="F36">
        <f>IFERROR('Data Sheet'!D93,0)</f>
        <v>1.01</v>
      </c>
      <c r="G36">
        <f>IFERROR('Data Sheet'!E93,0)</f>
        <v>1.01</v>
      </c>
      <c r="H36">
        <f>IFERROR('Data Sheet'!F93,0)</f>
        <v>1.01</v>
      </c>
      <c r="I36">
        <f>IFERROR('Data Sheet'!G93,0)</f>
        <v>1.01</v>
      </c>
      <c r="J36">
        <f>IFERROR('Data Sheet'!H93,0)</f>
        <v>1.01</v>
      </c>
      <c r="K36">
        <f>IFERROR('Data Sheet'!I93,0)</f>
        <v>1.01</v>
      </c>
      <c r="L36">
        <f>IFERROR('Data Sheet'!J93,0)</f>
        <v>1.01</v>
      </c>
      <c r="M36">
        <f>IFERROR('Data Sheet'!K93,0)</f>
        <v>1.01</v>
      </c>
      <c r="N36">
        <f>IFERROR('Data Sheet'!L93,0)</f>
        <v>0</v>
      </c>
    </row>
    <row r="38" spans="1:14" x14ac:dyDescent="0.25">
      <c r="B38" t="s">
        <v>77</v>
      </c>
      <c r="D38" s="17">
        <f>IFERROR(D33/D36,0)</f>
        <v>90.900990099009832</v>
      </c>
      <c r="E38" s="17">
        <f t="shared" ref="E38:N38" si="14">IFERROR(E33/E36,0)</f>
        <v>96.910891089108887</v>
      </c>
      <c r="F38" s="17">
        <f t="shared" si="14"/>
        <v>116.85148514851483</v>
      </c>
      <c r="G38" s="17">
        <f t="shared" si="14"/>
        <v>123.05940594059413</v>
      </c>
      <c r="H38" s="17">
        <f t="shared" si="14"/>
        <v>139.22772277227722</v>
      </c>
      <c r="I38" s="17">
        <f t="shared" si="14"/>
        <v>125.75247524752486</v>
      </c>
      <c r="J38" s="17">
        <f t="shared" si="14"/>
        <v>156.68316831683163</v>
      </c>
      <c r="K38" s="17">
        <f t="shared" si="14"/>
        <v>206.74257425742567</v>
      </c>
      <c r="L38" s="17">
        <f t="shared" si="14"/>
        <v>128.40594059405944</v>
      </c>
      <c r="M38" s="17">
        <f t="shared" si="14"/>
        <v>127.76237623762378</v>
      </c>
      <c r="N38" s="17">
        <f t="shared" si="14"/>
        <v>0</v>
      </c>
    </row>
    <row r="39" spans="1:14" s="15" customFormat="1" x14ac:dyDescent="0.25">
      <c r="B39" s="15" t="s">
        <v>79</v>
      </c>
      <c r="D39" s="16"/>
      <c r="E39" s="16">
        <f>IFERROR(E38/D38-1,0)</f>
        <v>6.6114802309117149E-2</v>
      </c>
      <c r="F39" s="16">
        <f t="shared" ref="F39:N39" si="15">IFERROR(F38/E38-1,0)</f>
        <v>0.20576215774417661</v>
      </c>
      <c r="G39" s="16">
        <f t="shared" si="15"/>
        <v>5.3126588713778178E-2</v>
      </c>
      <c r="H39" s="16">
        <f t="shared" si="15"/>
        <v>0.13138627403652681</v>
      </c>
      <c r="I39" s="16">
        <f t="shared" si="15"/>
        <v>-9.6785663490256635E-2</v>
      </c>
      <c r="J39" s="16">
        <f t="shared" si="15"/>
        <v>0.24596488465475019</v>
      </c>
      <c r="K39" s="16">
        <f t="shared" si="15"/>
        <v>0.31949447077409165</v>
      </c>
      <c r="L39" s="16">
        <f t="shared" si="15"/>
        <v>-0.37890905607968928</v>
      </c>
      <c r="M39" s="16">
        <f t="shared" si="15"/>
        <v>-5.0119515768372036E-3</v>
      </c>
      <c r="N39" s="16">
        <f t="shared" si="15"/>
        <v>-1</v>
      </c>
    </row>
    <row r="41" spans="1:14" x14ac:dyDescent="0.25">
      <c r="B41" t="s">
        <v>78</v>
      </c>
      <c r="D41" s="17">
        <f>IFERROR('Data Sheet'!B31/D36,0)</f>
        <v>6.0198019801980198</v>
      </c>
      <c r="E41" s="17">
        <f>IFERROR('Data Sheet'!C31/E36,0)</f>
        <v>7.5247524752475243</v>
      </c>
      <c r="F41" s="17">
        <f>IFERROR('Data Sheet'!D31/F36,0)</f>
        <v>9.0396039603960396</v>
      </c>
      <c r="G41" s="17">
        <f>IFERROR('Data Sheet'!E31/G36,0)</f>
        <v>10.03960396039604</v>
      </c>
      <c r="H41" s="17">
        <f>IFERROR('Data Sheet'!F31/H36,0)</f>
        <v>12.554455445544555</v>
      </c>
      <c r="I41" s="17">
        <f>IFERROR('Data Sheet'!G31/I36,0)</f>
        <v>10.03960396039604</v>
      </c>
      <c r="J41" s="17">
        <f>IFERROR('Data Sheet'!H31/J36,0)</f>
        <v>15.059405940594059</v>
      </c>
      <c r="K41" s="17">
        <f>IFERROR('Data Sheet'!I31/K36,0)</f>
        <v>16.564356435643564</v>
      </c>
      <c r="L41" s="17">
        <f>IFERROR('Data Sheet'!J31/L36,0)</f>
        <v>17.564356435643564</v>
      </c>
      <c r="M41" s="17">
        <f>IFERROR('Data Sheet'!K31/M36,0)</f>
        <v>21.584158415841586</v>
      </c>
      <c r="N41" s="17">
        <f>IFERROR('Data Sheet'!L31/N36,0)</f>
        <v>0</v>
      </c>
    </row>
    <row r="42" spans="1:14" s="15" customFormat="1" x14ac:dyDescent="0.25">
      <c r="B42" s="15" t="s">
        <v>80</v>
      </c>
      <c r="D42" s="16">
        <f>IFERROR(D41/D38,0)</f>
        <v>6.6223722906001578E-2</v>
      </c>
      <c r="E42" s="16">
        <f t="shared" ref="E42:N42" si="16">IFERROR(E41/E38,0)</f>
        <v>7.7646097261953428E-2</v>
      </c>
      <c r="F42" s="16">
        <f t="shared" si="16"/>
        <v>7.7359769530588054E-2</v>
      </c>
      <c r="G42" s="16">
        <f t="shared" si="16"/>
        <v>8.1583393676080085E-2</v>
      </c>
      <c r="H42" s="16">
        <f t="shared" si="16"/>
        <v>9.0172095007822514E-2</v>
      </c>
      <c r="I42" s="16">
        <f t="shared" si="16"/>
        <v>7.9836233367451312E-2</v>
      </c>
      <c r="J42" s="16">
        <f t="shared" si="16"/>
        <v>9.6113744075829413E-2</v>
      </c>
      <c r="K42" s="16">
        <f t="shared" si="16"/>
        <v>8.012068387529335E-2</v>
      </c>
      <c r="L42" s="16">
        <f t="shared" si="16"/>
        <v>0.13678772457398408</v>
      </c>
      <c r="M42" s="16">
        <f t="shared" si="16"/>
        <v>0.1689398636081835</v>
      </c>
      <c r="N42" s="16">
        <f t="shared" si="16"/>
        <v>0</v>
      </c>
    </row>
    <row r="44" spans="1:14" x14ac:dyDescent="0.25">
      <c r="B44" t="s">
        <v>81</v>
      </c>
      <c r="D44" s="14">
        <f>IFERROR(IF(D41&lt;D38,1-D42,0),0)</f>
        <v>0.93377627709399846</v>
      </c>
      <c r="E44" s="14">
        <f t="shared" ref="E44:N44" si="17">IFERROR(IF(E41&lt;E38,1-E42,0),0)</f>
        <v>0.92235390273804652</v>
      </c>
      <c r="F44" s="14">
        <f t="shared" si="17"/>
        <v>0.9226402304694119</v>
      </c>
      <c r="G44" s="14">
        <f t="shared" si="17"/>
        <v>0.91841660632391986</v>
      </c>
      <c r="H44" s="14">
        <f t="shared" si="17"/>
        <v>0.90982790499217747</v>
      </c>
      <c r="I44" s="14">
        <f t="shared" si="17"/>
        <v>0.92016376663254873</v>
      </c>
      <c r="J44" s="14">
        <f t="shared" si="17"/>
        <v>0.9038862559241706</v>
      </c>
      <c r="K44" s="14">
        <f t="shared" si="17"/>
        <v>0.91987931612470664</v>
      </c>
      <c r="L44" s="14">
        <f t="shared" si="17"/>
        <v>0.86321227542601586</v>
      </c>
      <c r="M44" s="14">
        <f t="shared" si="17"/>
        <v>0.83106013639181653</v>
      </c>
      <c r="N44" s="14">
        <f t="shared" si="17"/>
        <v>0</v>
      </c>
    </row>
    <row r="46" spans="1:14" x14ac:dyDescent="0.25">
      <c r="A46" t="s">
        <v>57</v>
      </c>
      <c r="B46" s="23" t="s">
        <v>82</v>
      </c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</row>
    <row r="47" spans="1:14" x14ac:dyDescent="0.25">
      <c r="B47" s="6" t="s">
        <v>32</v>
      </c>
      <c r="D47" s="17">
        <f>IFERROR('Data Sheet'!B57,0)</f>
        <v>10.14</v>
      </c>
      <c r="E47" s="17">
        <f>IFERROR('Data Sheet'!C57,0)</f>
        <v>10.14</v>
      </c>
      <c r="F47" s="17">
        <f>IFERROR('Data Sheet'!D57,0)</f>
        <v>10.14</v>
      </c>
      <c r="G47" s="17">
        <f>IFERROR('Data Sheet'!E57,0)</f>
        <v>10.14</v>
      </c>
      <c r="H47" s="17">
        <f>IFERROR('Data Sheet'!F57,0)</f>
        <v>10.14</v>
      </c>
      <c r="I47" s="17">
        <f>IFERROR('Data Sheet'!G57,0)</f>
        <v>10.14</v>
      </c>
      <c r="J47" s="17">
        <f>IFERROR('Data Sheet'!H57,0)</f>
        <v>10.14</v>
      </c>
      <c r="K47" s="17">
        <f>IFERROR('Data Sheet'!I57,0)</f>
        <v>10.14</v>
      </c>
      <c r="L47" s="17">
        <f>IFERROR('Data Sheet'!J57,0)</f>
        <v>10.14</v>
      </c>
      <c r="M47" s="17">
        <f>IFERROR('Data Sheet'!K57,0)</f>
        <v>10.14</v>
      </c>
      <c r="N47" s="17">
        <f>IFERROR('Data Sheet'!L57,0)</f>
        <v>0</v>
      </c>
    </row>
    <row r="48" spans="1:14" x14ac:dyDescent="0.25">
      <c r="B48" s="6" t="s">
        <v>33</v>
      </c>
      <c r="D48" s="17">
        <f>IFERROR('Data Sheet'!B58,0)</f>
        <v>356.43</v>
      </c>
      <c r="E48" s="17">
        <f>IFERROR('Data Sheet'!C58,0)</f>
        <v>412.37</v>
      </c>
      <c r="F48" s="17">
        <f>IFERROR('Data Sheet'!D58,0)</f>
        <v>464.31</v>
      </c>
      <c r="G48" s="17">
        <f>IFERROR('Data Sheet'!E58,0)</f>
        <v>506.96</v>
      </c>
      <c r="H48" s="17">
        <f>IFERROR('Data Sheet'!F58,0)</f>
        <v>559.47</v>
      </c>
      <c r="I48" s="17">
        <f>IFERROR('Data Sheet'!G58,0)</f>
        <v>595.37</v>
      </c>
      <c r="J48" s="17">
        <f>IFERROR('Data Sheet'!H58,0)</f>
        <v>659.74</v>
      </c>
      <c r="K48" s="17">
        <f>IFERROR('Data Sheet'!I58,0)</f>
        <v>726.6</v>
      </c>
      <c r="L48" s="17">
        <f>IFERROR('Data Sheet'!J58,0)</f>
        <v>801.97</v>
      </c>
      <c r="M48" s="17">
        <f>IFERROR('Data Sheet'!K58,0)</f>
        <v>853.39</v>
      </c>
      <c r="N48" s="17">
        <f>IFERROR('Data Sheet'!L58,0)</f>
        <v>0</v>
      </c>
    </row>
    <row r="49" spans="2:24" x14ac:dyDescent="0.25">
      <c r="B49" s="6" t="s">
        <v>34</v>
      </c>
      <c r="D49" s="17">
        <f>IFERROR('Data Sheet'!B59,0)</f>
        <v>0</v>
      </c>
      <c r="E49" s="17">
        <f>IFERROR('Data Sheet'!C59,0)</f>
        <v>0</v>
      </c>
      <c r="F49" s="17">
        <f>IFERROR('Data Sheet'!D59,0)</f>
        <v>0</v>
      </c>
      <c r="G49" s="17">
        <f>IFERROR('Data Sheet'!E59,0)</f>
        <v>0</v>
      </c>
      <c r="H49" s="17">
        <f>IFERROR('Data Sheet'!F59,0)</f>
        <v>1.19</v>
      </c>
      <c r="I49" s="17">
        <f>IFERROR('Data Sheet'!G59,0)</f>
        <v>1.44</v>
      </c>
      <c r="J49" s="17">
        <f>IFERROR('Data Sheet'!H59,0)</f>
        <v>1.23</v>
      </c>
      <c r="K49" s="17">
        <f>IFERROR('Data Sheet'!I59,0)</f>
        <v>0.81</v>
      </c>
      <c r="L49" s="17">
        <f>IFERROR('Data Sheet'!J59,0)</f>
        <v>0.47</v>
      </c>
      <c r="M49" s="17">
        <f>IFERROR('Data Sheet'!K59,0)</f>
        <v>0.1</v>
      </c>
      <c r="N49" s="17">
        <f>IFERROR('Data Sheet'!L59,0)</f>
        <v>0</v>
      </c>
    </row>
    <row r="50" spans="2:24" x14ac:dyDescent="0.25">
      <c r="B50" s="6" t="s">
        <v>35</v>
      </c>
      <c r="D50" s="17">
        <f>IFERROR('Data Sheet'!B60,0)</f>
        <v>113.36</v>
      </c>
      <c r="E50" s="17">
        <f>IFERROR('Data Sheet'!C60,0)</f>
        <v>113.63</v>
      </c>
      <c r="F50" s="17">
        <f>IFERROR('Data Sheet'!D60,0)</f>
        <v>124.46</v>
      </c>
      <c r="G50" s="17">
        <f>IFERROR('Data Sheet'!E60,0)</f>
        <v>141.28</v>
      </c>
      <c r="H50" s="17">
        <f>IFERROR('Data Sheet'!F60,0)</f>
        <v>148.04</v>
      </c>
      <c r="I50" s="17">
        <f>IFERROR('Data Sheet'!G60,0)</f>
        <v>186.9</v>
      </c>
      <c r="J50" s="17">
        <f>IFERROR('Data Sheet'!H60,0)</f>
        <v>193.57</v>
      </c>
      <c r="K50" s="17">
        <f>IFERROR('Data Sheet'!I60,0)</f>
        <v>196.12</v>
      </c>
      <c r="L50" s="17">
        <f>IFERROR('Data Sheet'!J60,0)</f>
        <v>184.14</v>
      </c>
      <c r="M50" s="17">
        <f>IFERROR('Data Sheet'!K60,0)</f>
        <v>193.95</v>
      </c>
      <c r="N50" s="17">
        <f>IFERROR('Data Sheet'!L60,0)</f>
        <v>0</v>
      </c>
    </row>
    <row r="51" spans="2:24" s="24" customFormat="1" x14ac:dyDescent="0.25">
      <c r="B51" s="53" t="s">
        <v>83</v>
      </c>
      <c r="C51" s="53"/>
      <c r="D51" s="54">
        <f>IFERROR('Data Sheet'!B61,0)</f>
        <v>479.93</v>
      </c>
      <c r="E51" s="54">
        <f>IFERROR('Data Sheet'!C61,0)</f>
        <v>536.14</v>
      </c>
      <c r="F51" s="54">
        <f>IFERROR('Data Sheet'!D61,0)</f>
        <v>598.91</v>
      </c>
      <c r="G51" s="54">
        <f>IFERROR('Data Sheet'!E61,0)</f>
        <v>658.38</v>
      </c>
      <c r="H51" s="54">
        <f>IFERROR('Data Sheet'!F61,0)</f>
        <v>718.84</v>
      </c>
      <c r="I51" s="54">
        <f>IFERROR('Data Sheet'!G61,0)</f>
        <v>793.85</v>
      </c>
      <c r="J51" s="54">
        <f>IFERROR('Data Sheet'!H61,0)</f>
        <v>864.68</v>
      </c>
      <c r="K51" s="54">
        <f>IFERROR('Data Sheet'!I61,0)</f>
        <v>933.67</v>
      </c>
      <c r="L51" s="54">
        <f>IFERROR('Data Sheet'!J61,0)</f>
        <v>996.72</v>
      </c>
      <c r="M51" s="54">
        <f>IFERROR('Data Sheet'!K61,0)</f>
        <v>1057.58</v>
      </c>
      <c r="N51" s="54">
        <f>IFERROR('Data Sheet'!L61,0)</f>
        <v>0</v>
      </c>
    </row>
    <row r="52" spans="2:24" x14ac:dyDescent="0.25">
      <c r="B52" s="1"/>
    </row>
    <row r="53" spans="2:24" x14ac:dyDescent="0.25">
      <c r="B53" s="6" t="s">
        <v>37</v>
      </c>
      <c r="D53" s="17">
        <f>IFERROR('Data Sheet'!B62,0)</f>
        <v>112.46</v>
      </c>
      <c r="E53" s="17">
        <f>IFERROR('Data Sheet'!C62,0)</f>
        <v>106.73</v>
      </c>
      <c r="F53" s="17">
        <f>IFERROR('Data Sheet'!D62,0)</f>
        <v>100.73</v>
      </c>
      <c r="G53" s="17">
        <f>IFERROR('Data Sheet'!E62,0)</f>
        <v>94.55</v>
      </c>
      <c r="H53" s="17">
        <f>IFERROR('Data Sheet'!F62,0)</f>
        <v>97.61</v>
      </c>
      <c r="I53" s="17">
        <f>IFERROR('Data Sheet'!G62,0)</f>
        <v>91.29</v>
      </c>
      <c r="J53" s="17">
        <f>IFERROR('Data Sheet'!H62,0)</f>
        <v>86.66</v>
      </c>
      <c r="K53" s="17">
        <f>IFERROR('Data Sheet'!I62,0)</f>
        <v>91.21</v>
      </c>
      <c r="L53" s="17">
        <f>IFERROR('Data Sheet'!J62,0)</f>
        <v>97.71</v>
      </c>
      <c r="M53" s="17">
        <f>IFERROR('Data Sheet'!K62,0)</f>
        <v>106.88</v>
      </c>
      <c r="N53" s="17">
        <f>IFERROR('Data Sheet'!L62,0)</f>
        <v>0</v>
      </c>
      <c r="X53" t="s">
        <v>62</v>
      </c>
    </row>
    <row r="54" spans="2:24" x14ac:dyDescent="0.25">
      <c r="B54" s="6" t="s">
        <v>38</v>
      </c>
      <c r="D54" s="17">
        <f>IFERROR('Data Sheet'!B63,0)</f>
        <v>0.49</v>
      </c>
      <c r="E54" s="17">
        <f>IFERROR('Data Sheet'!C63,0)</f>
        <v>0.33</v>
      </c>
      <c r="F54" s="17">
        <f>IFERROR('Data Sheet'!D63,0)</f>
        <v>0.94</v>
      </c>
      <c r="G54" s="17">
        <f>IFERROR('Data Sheet'!E63,0)</f>
        <v>3.44</v>
      </c>
      <c r="H54" s="17">
        <f>IFERROR('Data Sheet'!F63,0)</f>
        <v>1.89</v>
      </c>
      <c r="I54" s="17">
        <f>IFERROR('Data Sheet'!G63,0)</f>
        <v>2.4700000000000002</v>
      </c>
      <c r="J54" s="17">
        <f>IFERROR('Data Sheet'!H63,0)</f>
        <v>12.69</v>
      </c>
      <c r="K54" s="17">
        <f>IFERROR('Data Sheet'!I63,0)</f>
        <v>9.24</v>
      </c>
      <c r="L54" s="17">
        <f>IFERROR('Data Sheet'!J63,0)</f>
        <v>7.38</v>
      </c>
      <c r="M54" s="17">
        <f>IFERROR('Data Sheet'!K63,0)</f>
        <v>7.83</v>
      </c>
      <c r="N54" s="17">
        <f>IFERROR('Data Sheet'!L63,0)</f>
        <v>0</v>
      </c>
    </row>
    <row r="55" spans="2:24" x14ac:dyDescent="0.25">
      <c r="B55" s="6" t="s">
        <v>39</v>
      </c>
      <c r="D55" s="17">
        <f>IFERROR('Data Sheet'!B64,0)</f>
        <v>0</v>
      </c>
      <c r="E55" s="17">
        <f>IFERROR('Data Sheet'!C64,0)</f>
        <v>0</v>
      </c>
      <c r="F55" s="17">
        <f>IFERROR('Data Sheet'!D64,0)</f>
        <v>0</v>
      </c>
      <c r="G55" s="17">
        <f>IFERROR('Data Sheet'!E64,0)</f>
        <v>0</v>
      </c>
      <c r="H55" s="17">
        <f>IFERROR('Data Sheet'!F64,0)</f>
        <v>0</v>
      </c>
      <c r="I55" s="17">
        <f>IFERROR('Data Sheet'!G64,0)</f>
        <v>0</v>
      </c>
      <c r="J55" s="17">
        <f>IFERROR('Data Sheet'!H64,0)</f>
        <v>0</v>
      </c>
      <c r="K55" s="17">
        <f>IFERROR('Data Sheet'!I64,0)</f>
        <v>0</v>
      </c>
      <c r="L55" s="17">
        <f>IFERROR('Data Sheet'!J64,0)</f>
        <v>0</v>
      </c>
      <c r="M55" s="17">
        <f>IFERROR('Data Sheet'!K64,0)</f>
        <v>0</v>
      </c>
      <c r="N55" s="17">
        <f>IFERROR('Data Sheet'!L64,0)</f>
        <v>0</v>
      </c>
    </row>
    <row r="56" spans="2:24" x14ac:dyDescent="0.25">
      <c r="B56" s="6" t="s">
        <v>40</v>
      </c>
      <c r="D56" s="17">
        <f>IFERROR('Data Sheet'!B65-SUM('Data Sheet'!B67:B69),0)</f>
        <v>85.57000000000005</v>
      </c>
      <c r="E56" s="17">
        <f>IFERROR('Data Sheet'!C65-SUM('Data Sheet'!C67:C69),0)</f>
        <v>137.24</v>
      </c>
      <c r="F56" s="17">
        <f>IFERROR('Data Sheet'!D65-SUM('Data Sheet'!D67:D69),0)</f>
        <v>148.68</v>
      </c>
      <c r="G56" s="17">
        <f>IFERROR('Data Sheet'!E65-SUM('Data Sheet'!E67:E69),0)</f>
        <v>321.15999999999997</v>
      </c>
      <c r="H56" s="17">
        <f>IFERROR('Data Sheet'!F65-SUM('Data Sheet'!F67:F69),0)</f>
        <v>319.74</v>
      </c>
      <c r="I56" s="17">
        <f>IFERROR('Data Sheet'!G65-SUM('Data Sheet'!G67:G69),0)</f>
        <v>318.46000000000004</v>
      </c>
      <c r="J56" s="17">
        <f>IFERROR('Data Sheet'!H65-SUM('Data Sheet'!H67:H69),0)</f>
        <v>221.2700000000001</v>
      </c>
      <c r="K56" s="17">
        <f>IFERROR('Data Sheet'!I65-SUM('Data Sheet'!I67:I69),0)</f>
        <v>123.43000000000006</v>
      </c>
      <c r="L56" s="17">
        <f>IFERROR('Data Sheet'!J65-SUM('Data Sheet'!J67:J69),0)</f>
        <v>154.37</v>
      </c>
      <c r="M56" s="17">
        <f>IFERROR('Data Sheet'!K65-SUM('Data Sheet'!K67:K69),0)</f>
        <v>153.73000000000002</v>
      </c>
      <c r="N56" s="17">
        <f>IFERROR('Data Sheet'!L65,0)</f>
        <v>0</v>
      </c>
    </row>
    <row r="57" spans="2:24" s="24" customFormat="1" x14ac:dyDescent="0.25">
      <c r="B57" s="53" t="s">
        <v>86</v>
      </c>
      <c r="C57" s="53"/>
      <c r="D57" s="54">
        <f>IFERROR(SUM(D53:D56),0)</f>
        <v>198.52000000000004</v>
      </c>
      <c r="E57" s="54">
        <f t="shared" ref="E57:M57" si="18">IFERROR(SUM(E53:E56),0)</f>
        <v>244.3</v>
      </c>
      <c r="F57" s="54">
        <f t="shared" si="18"/>
        <v>250.35000000000002</v>
      </c>
      <c r="G57" s="54">
        <f t="shared" si="18"/>
        <v>419.15</v>
      </c>
      <c r="H57" s="54">
        <f t="shared" si="18"/>
        <v>419.24</v>
      </c>
      <c r="I57" s="54">
        <f t="shared" si="18"/>
        <v>412.22</v>
      </c>
      <c r="J57" s="54">
        <f t="shared" si="18"/>
        <v>320.62000000000012</v>
      </c>
      <c r="K57" s="54">
        <f t="shared" si="18"/>
        <v>223.88000000000005</v>
      </c>
      <c r="L57" s="54">
        <f t="shared" si="18"/>
        <v>259.45999999999998</v>
      </c>
      <c r="M57" s="54">
        <f t="shared" si="18"/>
        <v>268.44</v>
      </c>
      <c r="N57" s="54">
        <f>IFERROR('Data Sheet'!L66,0)</f>
        <v>0</v>
      </c>
    </row>
    <row r="58" spans="2:24" x14ac:dyDescent="0.25">
      <c r="B58" s="1"/>
    </row>
    <row r="59" spans="2:24" x14ac:dyDescent="0.25">
      <c r="B59" s="6" t="s">
        <v>41</v>
      </c>
      <c r="D59" s="17">
        <f>IFERROR('Data Sheet'!B67,0)</f>
        <v>33.64</v>
      </c>
      <c r="E59" s="17">
        <f>IFERROR('Data Sheet'!C67,0)</f>
        <v>26.38</v>
      </c>
      <c r="F59" s="17">
        <f>IFERROR('Data Sheet'!D67,0)</f>
        <v>63.6</v>
      </c>
      <c r="G59" s="17">
        <f>IFERROR('Data Sheet'!E67,0)</f>
        <v>63.69</v>
      </c>
      <c r="H59" s="17">
        <f>IFERROR('Data Sheet'!F67,0)</f>
        <v>49.53</v>
      </c>
      <c r="I59" s="17">
        <f>IFERROR('Data Sheet'!G67,0)</f>
        <v>82.3</v>
      </c>
      <c r="J59" s="17">
        <f>IFERROR('Data Sheet'!H67,0)</f>
        <v>87.11</v>
      </c>
      <c r="K59" s="17">
        <f>IFERROR('Data Sheet'!I67,0)</f>
        <v>70.84</v>
      </c>
      <c r="L59" s="17">
        <f>IFERROR('Data Sheet'!J67,0)</f>
        <v>50.74</v>
      </c>
      <c r="M59" s="17">
        <f>IFERROR('Data Sheet'!K67,0)</f>
        <v>118.05</v>
      </c>
      <c r="N59" s="17">
        <f>IFERROR('Data Sheet'!L67,0)</f>
        <v>0</v>
      </c>
    </row>
    <row r="60" spans="2:24" x14ac:dyDescent="0.25">
      <c r="B60" s="6" t="s">
        <v>42</v>
      </c>
      <c r="D60" s="17">
        <f>IFERROR('Data Sheet'!B68,0)</f>
        <v>92.32</v>
      </c>
      <c r="E60" s="17">
        <f>IFERROR('Data Sheet'!C68,0)</f>
        <v>123.32</v>
      </c>
      <c r="F60" s="17">
        <f>IFERROR('Data Sheet'!D68,0)</f>
        <v>93.13</v>
      </c>
      <c r="G60" s="17">
        <f>IFERROR('Data Sheet'!E68,0)</f>
        <v>114.58</v>
      </c>
      <c r="H60" s="17">
        <f>IFERROR('Data Sheet'!F68,0)</f>
        <v>214.59</v>
      </c>
      <c r="I60" s="17">
        <f>IFERROR('Data Sheet'!G68,0)</f>
        <v>163.37</v>
      </c>
      <c r="J60" s="17">
        <f>IFERROR('Data Sheet'!H68,0)</f>
        <v>179.62</v>
      </c>
      <c r="K60" s="17">
        <f>IFERROR('Data Sheet'!I68,0)</f>
        <v>170.48</v>
      </c>
      <c r="L60" s="17">
        <f>IFERROR('Data Sheet'!J68,0)</f>
        <v>145.72</v>
      </c>
      <c r="M60" s="17">
        <f>IFERROR('Data Sheet'!K68,0)</f>
        <v>128.93</v>
      </c>
      <c r="N60" s="17">
        <f>IFERROR('Data Sheet'!L68,0)</f>
        <v>0</v>
      </c>
    </row>
    <row r="61" spans="2:24" x14ac:dyDescent="0.25">
      <c r="B61" s="2" t="s">
        <v>43</v>
      </c>
      <c r="D61" s="17">
        <f>IFERROR('Data Sheet'!B69,0)</f>
        <v>155.44999999999999</v>
      </c>
      <c r="E61" s="17">
        <f>IFERROR('Data Sheet'!C69,0)</f>
        <v>142.13999999999999</v>
      </c>
      <c r="F61" s="17">
        <f>IFERROR('Data Sheet'!D69,0)</f>
        <v>191.83</v>
      </c>
      <c r="G61" s="17">
        <f>IFERROR('Data Sheet'!E69,0)</f>
        <v>60.96</v>
      </c>
      <c r="H61" s="17">
        <f>IFERROR('Data Sheet'!F69,0)</f>
        <v>35.479999999999997</v>
      </c>
      <c r="I61" s="17">
        <f>IFERROR('Data Sheet'!G69,0)</f>
        <v>135.96</v>
      </c>
      <c r="J61" s="17">
        <f>IFERROR('Data Sheet'!H69,0)</f>
        <v>277.33</v>
      </c>
      <c r="K61" s="17">
        <f>IFERROR('Data Sheet'!I69,0)</f>
        <v>468.47</v>
      </c>
      <c r="L61" s="17">
        <f>IFERROR('Data Sheet'!J69,0)</f>
        <v>540.79999999999995</v>
      </c>
      <c r="M61" s="17">
        <f>IFERROR('Data Sheet'!K69,0)</f>
        <v>542.16</v>
      </c>
      <c r="N61" s="17">
        <f>IFERROR('Data Sheet'!L69,0)</f>
        <v>0</v>
      </c>
    </row>
    <row r="62" spans="2:24" x14ac:dyDescent="0.25">
      <c r="B62" s="53" t="s">
        <v>84</v>
      </c>
      <c r="C62" s="53"/>
      <c r="D62" s="54">
        <f>IFERROR(SUM(D59:D61),0)</f>
        <v>281.40999999999997</v>
      </c>
      <c r="E62" s="54">
        <f t="shared" ref="E62:N62" si="19">IFERROR(SUM(E59:E61),0)</f>
        <v>291.83999999999997</v>
      </c>
      <c r="F62" s="54">
        <f t="shared" si="19"/>
        <v>348.56</v>
      </c>
      <c r="G62" s="54">
        <f t="shared" si="19"/>
        <v>239.23</v>
      </c>
      <c r="H62" s="54">
        <f t="shared" si="19"/>
        <v>299.60000000000002</v>
      </c>
      <c r="I62" s="54">
        <f t="shared" si="19"/>
        <v>381.63</v>
      </c>
      <c r="J62" s="54">
        <f t="shared" si="19"/>
        <v>544.05999999999995</v>
      </c>
      <c r="K62" s="54">
        <f t="shared" si="19"/>
        <v>709.79</v>
      </c>
      <c r="L62" s="54">
        <f t="shared" si="19"/>
        <v>737.26</v>
      </c>
      <c r="M62" s="54">
        <f t="shared" si="19"/>
        <v>789.14</v>
      </c>
      <c r="N62" s="54">
        <f t="shared" si="19"/>
        <v>0</v>
      </c>
    </row>
    <row r="64" spans="2:24" x14ac:dyDescent="0.25">
      <c r="B64" s="53" t="s">
        <v>85</v>
      </c>
      <c r="C64" s="53"/>
      <c r="D64" s="54">
        <f>IFERROR(SUM(D62,D57),0)</f>
        <v>479.93</v>
      </c>
      <c r="E64" s="54">
        <f t="shared" ref="E64:M64" si="20">IFERROR(SUM(E62,E57),0)</f>
        <v>536.14</v>
      </c>
      <c r="F64" s="54">
        <f t="shared" si="20"/>
        <v>598.91000000000008</v>
      </c>
      <c r="G64" s="54">
        <f t="shared" si="20"/>
        <v>658.38</v>
      </c>
      <c r="H64" s="54">
        <f t="shared" si="20"/>
        <v>718.84</v>
      </c>
      <c r="I64" s="54">
        <f t="shared" si="20"/>
        <v>793.85</v>
      </c>
      <c r="J64" s="54">
        <f t="shared" si="20"/>
        <v>864.68000000000006</v>
      </c>
      <c r="K64" s="54">
        <f t="shared" si="20"/>
        <v>933.67000000000007</v>
      </c>
      <c r="L64" s="54">
        <f t="shared" si="20"/>
        <v>996.72</v>
      </c>
      <c r="M64" s="54">
        <f t="shared" si="20"/>
        <v>1057.58</v>
      </c>
      <c r="N64" s="54"/>
    </row>
    <row r="66" spans="1:14" s="25" customFormat="1" x14ac:dyDescent="0.25">
      <c r="B66" s="26" t="s">
        <v>87</v>
      </c>
      <c r="D66" s="25" t="b">
        <f>D64=D51</f>
        <v>1</v>
      </c>
      <c r="E66" s="25" t="b">
        <f t="shared" ref="E66:M66" si="21">E64=E51</f>
        <v>1</v>
      </c>
      <c r="F66" s="25" t="b">
        <f t="shared" si="21"/>
        <v>1</v>
      </c>
      <c r="G66" s="25" t="b">
        <f t="shared" si="21"/>
        <v>1</v>
      </c>
      <c r="H66" s="25" t="b">
        <f t="shared" si="21"/>
        <v>1</v>
      </c>
      <c r="I66" s="25" t="b">
        <f t="shared" si="21"/>
        <v>1</v>
      </c>
      <c r="J66" s="25" t="b">
        <f t="shared" si="21"/>
        <v>1</v>
      </c>
      <c r="K66" s="25" t="b">
        <f t="shared" si="21"/>
        <v>1</v>
      </c>
      <c r="L66" s="25" t="b">
        <f t="shared" si="21"/>
        <v>1</v>
      </c>
      <c r="M66" s="25" t="b">
        <f t="shared" si="21"/>
        <v>1</v>
      </c>
    </row>
    <row r="69" spans="1:14" x14ac:dyDescent="0.25">
      <c r="A69" t="s">
        <v>57</v>
      </c>
      <c r="B69" s="23" t="s">
        <v>108</v>
      </c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</row>
    <row r="70" spans="1:14" x14ac:dyDescent="0.25">
      <c r="B70" s="47" t="s">
        <v>109</v>
      </c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</row>
    <row r="71" spans="1:14" x14ac:dyDescent="0.25">
      <c r="B71" s="48" t="s">
        <v>88</v>
      </c>
      <c r="C71" s="48"/>
      <c r="D71" s="49">
        <f>IFERROR('Cash Flow Data'!E4,0)</f>
        <v>91</v>
      </c>
      <c r="E71" s="49">
        <f>IFERROR('Cash Flow Data'!F4,0)</f>
        <v>97</v>
      </c>
      <c r="F71" s="49">
        <f>IFERROR('Cash Flow Data'!G4,0)</f>
        <v>103</v>
      </c>
      <c r="G71" s="49">
        <f>IFERROR('Cash Flow Data'!H4,0)</f>
        <v>93</v>
      </c>
      <c r="H71" s="49">
        <f>IFERROR('Cash Flow Data'!I4,0)</f>
        <v>95</v>
      </c>
      <c r="I71" s="49">
        <f>IFERROR('Cash Flow Data'!J4,0)</f>
        <v>72</v>
      </c>
      <c r="J71" s="49">
        <f>IFERROR('Cash Flow Data'!K4,0)</f>
        <v>108</v>
      </c>
      <c r="K71" s="49">
        <f>IFERROR('Cash Flow Data'!L4,0)</f>
        <v>137</v>
      </c>
      <c r="L71" s="49">
        <f>IFERROR('Cash Flow Data'!M4,0)</f>
        <v>105</v>
      </c>
      <c r="M71" s="49">
        <f>IFERROR('Cash Flow Data'!N4,0)</f>
        <v>97</v>
      </c>
      <c r="N71" s="48"/>
    </row>
    <row r="72" spans="1:14" x14ac:dyDescent="0.25">
      <c r="B72" s="48" t="s">
        <v>41</v>
      </c>
      <c r="C72" s="48"/>
      <c r="D72" s="49">
        <f>IFERROR('Cash Flow Data'!E5,0)</f>
        <v>4</v>
      </c>
      <c r="E72" s="49">
        <f>IFERROR('Cash Flow Data'!F5,0)</f>
        <v>5</v>
      </c>
      <c r="F72" s="49">
        <f>IFERROR('Cash Flow Data'!G5,0)</f>
        <v>-38</v>
      </c>
      <c r="G72" s="49">
        <f>IFERROR('Cash Flow Data'!H5,0)</f>
        <v>-1</v>
      </c>
      <c r="H72" s="49">
        <f>IFERROR('Cash Flow Data'!I5,0)</f>
        <v>14</v>
      </c>
      <c r="I72" s="49">
        <f>IFERROR('Cash Flow Data'!J5,0)</f>
        <v>-32</v>
      </c>
      <c r="J72" s="49">
        <f>IFERROR('Cash Flow Data'!K5,0)</f>
        <v>-6</v>
      </c>
      <c r="K72" s="49">
        <f>IFERROR('Cash Flow Data'!L5,0)</f>
        <v>15</v>
      </c>
      <c r="L72" s="49">
        <f>IFERROR('Cash Flow Data'!M5,0)</f>
        <v>21</v>
      </c>
      <c r="M72" s="49">
        <f>IFERROR('Cash Flow Data'!N5,0)</f>
        <v>-68</v>
      </c>
      <c r="N72" s="48"/>
    </row>
    <row r="73" spans="1:14" x14ac:dyDescent="0.25">
      <c r="B73" s="48" t="s">
        <v>42</v>
      </c>
      <c r="C73" s="48"/>
      <c r="D73" s="49">
        <f>IFERROR('Cash Flow Data'!E6,0)</f>
        <v>29</v>
      </c>
      <c r="E73" s="49">
        <f>IFERROR('Cash Flow Data'!F6,0)</f>
        <v>-24</v>
      </c>
      <c r="F73" s="49">
        <f>IFERROR('Cash Flow Data'!G6,0)</f>
        <v>30</v>
      </c>
      <c r="G73" s="49">
        <f>IFERROR('Cash Flow Data'!H6,0)</f>
        <v>-21</v>
      </c>
      <c r="H73" s="49">
        <f>IFERROR('Cash Flow Data'!I6,0)</f>
        <v>-100</v>
      </c>
      <c r="I73" s="49">
        <f>IFERROR('Cash Flow Data'!J6,0)</f>
        <v>51</v>
      </c>
      <c r="J73" s="49">
        <f>IFERROR('Cash Flow Data'!K6,0)</f>
        <v>-16</v>
      </c>
      <c r="K73" s="49">
        <f>IFERROR('Cash Flow Data'!L6,0)</f>
        <v>9</v>
      </c>
      <c r="L73" s="49">
        <f>IFERROR('Cash Flow Data'!M6,0)</f>
        <v>25</v>
      </c>
      <c r="M73" s="49">
        <f>IFERROR('Cash Flow Data'!N6,0)</f>
        <v>17</v>
      </c>
      <c r="N73" s="48"/>
    </row>
    <row r="74" spans="1:14" x14ac:dyDescent="0.25">
      <c r="B74" s="48" t="s">
        <v>89</v>
      </c>
      <c r="C74" s="48"/>
      <c r="D74" s="49">
        <f>IFERROR('Cash Flow Data'!E7,0)</f>
        <v>-6</v>
      </c>
      <c r="E74" s="49">
        <f>IFERROR('Cash Flow Data'!F7,0)</f>
        <v>12</v>
      </c>
      <c r="F74" s="49">
        <f>IFERROR('Cash Flow Data'!G7,0)</f>
        <v>5</v>
      </c>
      <c r="G74" s="49">
        <f>IFERROR('Cash Flow Data'!H7,0)</f>
        <v>8</v>
      </c>
      <c r="H74" s="49">
        <f>IFERROR('Cash Flow Data'!I7,0)</f>
        <v>5</v>
      </c>
      <c r="I74" s="49">
        <f>IFERROR('Cash Flow Data'!J7,0)</f>
        <v>27</v>
      </c>
      <c r="J74" s="49">
        <f>IFERROR('Cash Flow Data'!K7,0)</f>
        <v>3</v>
      </c>
      <c r="K74" s="49">
        <f>IFERROR('Cash Flow Data'!L7,0)</f>
        <v>-23</v>
      </c>
      <c r="L74" s="49">
        <f>IFERROR('Cash Flow Data'!M7,0)</f>
        <v>5</v>
      </c>
      <c r="M74" s="49">
        <f>IFERROR('Cash Flow Data'!N7,0)</f>
        <v>-18</v>
      </c>
      <c r="N74" s="48"/>
    </row>
    <row r="75" spans="1:14" x14ac:dyDescent="0.25">
      <c r="B75" s="48" t="s">
        <v>90</v>
      </c>
      <c r="C75" s="48"/>
      <c r="D75" s="49">
        <f>IFERROR('Cash Flow Data'!E8,0)</f>
        <v>-1</v>
      </c>
      <c r="E75" s="49">
        <f>IFERROR('Cash Flow Data'!F8,0)</f>
        <v>0</v>
      </c>
      <c r="F75" s="49">
        <f>IFERROR('Cash Flow Data'!G8,0)</f>
        <v>0</v>
      </c>
      <c r="G75" s="49">
        <f>IFERROR('Cash Flow Data'!H8,0)</f>
        <v>0</v>
      </c>
      <c r="H75" s="49">
        <f>IFERROR('Cash Flow Data'!I8,0)</f>
        <v>0</v>
      </c>
      <c r="I75" s="49">
        <f>IFERROR('Cash Flow Data'!J8,0)</f>
        <v>0</v>
      </c>
      <c r="J75" s="49">
        <f>IFERROR('Cash Flow Data'!K8,0)</f>
        <v>0</v>
      </c>
      <c r="K75" s="49">
        <f>IFERROR('Cash Flow Data'!L8,0)</f>
        <v>0</v>
      </c>
      <c r="L75" s="49">
        <f>IFERROR('Cash Flow Data'!M8,0)</f>
        <v>0</v>
      </c>
      <c r="M75" s="49">
        <f>IFERROR('Cash Flow Data'!N8,0)</f>
        <v>0</v>
      </c>
      <c r="N75" s="48"/>
    </row>
    <row r="76" spans="1:14" x14ac:dyDescent="0.25">
      <c r="B76" s="48" t="s">
        <v>91</v>
      </c>
      <c r="C76" s="48"/>
      <c r="D76" s="49">
        <f>IFERROR('Cash Flow Data'!E9,0)</f>
        <v>9</v>
      </c>
      <c r="E76" s="49">
        <f>IFERROR('Cash Flow Data'!F9,0)</f>
        <v>-13</v>
      </c>
      <c r="F76" s="49">
        <f>IFERROR('Cash Flow Data'!G9,0)</f>
        <v>-8</v>
      </c>
      <c r="G76" s="49">
        <f>IFERROR('Cash Flow Data'!H9,0)</f>
        <v>-19</v>
      </c>
      <c r="H76" s="49">
        <f>IFERROR('Cash Flow Data'!I9,0)</f>
        <v>-6</v>
      </c>
      <c r="I76" s="49">
        <f>IFERROR('Cash Flow Data'!J9,0)</f>
        <v>52</v>
      </c>
      <c r="J76" s="49">
        <f>IFERROR('Cash Flow Data'!K9,0)</f>
        <v>-25</v>
      </c>
      <c r="K76" s="49">
        <f>IFERROR('Cash Flow Data'!L9,0)</f>
        <v>75</v>
      </c>
      <c r="L76" s="49">
        <f>IFERROR('Cash Flow Data'!M9,0)</f>
        <v>-29</v>
      </c>
      <c r="M76" s="49">
        <f>IFERROR('Cash Flow Data'!N9,0)</f>
        <v>26</v>
      </c>
      <c r="N76" s="48"/>
    </row>
    <row r="77" spans="1:14" x14ac:dyDescent="0.25">
      <c r="B77" s="48" t="s">
        <v>92</v>
      </c>
      <c r="C77" s="48"/>
      <c r="D77" s="49">
        <f>IFERROR('Cash Flow Data'!E10,0)</f>
        <v>34</v>
      </c>
      <c r="E77" s="49">
        <f>IFERROR('Cash Flow Data'!F10,0)</f>
        <v>-20</v>
      </c>
      <c r="F77" s="49">
        <f>IFERROR('Cash Flow Data'!G10,0)</f>
        <v>-10</v>
      </c>
      <c r="G77" s="49">
        <f>IFERROR('Cash Flow Data'!H10,0)</f>
        <v>-34</v>
      </c>
      <c r="H77" s="49">
        <f>IFERROR('Cash Flow Data'!I10,0)</f>
        <v>-87</v>
      </c>
      <c r="I77" s="49">
        <f>IFERROR('Cash Flow Data'!J10,0)</f>
        <v>98</v>
      </c>
      <c r="J77" s="49">
        <f>IFERROR('Cash Flow Data'!K10,0)</f>
        <v>-44</v>
      </c>
      <c r="K77" s="49">
        <f>IFERROR('Cash Flow Data'!L10,0)</f>
        <v>77</v>
      </c>
      <c r="L77" s="49">
        <f>IFERROR('Cash Flow Data'!M10,0)</f>
        <v>22</v>
      </c>
      <c r="M77" s="49">
        <f>IFERROR('Cash Flow Data'!N10,0)</f>
        <v>-43</v>
      </c>
      <c r="N77" s="48"/>
    </row>
    <row r="78" spans="1:14" x14ac:dyDescent="0.25">
      <c r="B78" s="48" t="s">
        <v>93</v>
      </c>
      <c r="C78" s="48"/>
      <c r="D78" s="49">
        <f>IFERROR('Cash Flow Data'!E11,0)</f>
        <v>-25</v>
      </c>
      <c r="E78" s="49">
        <f>IFERROR('Cash Flow Data'!F11,0)</f>
        <v>-37</v>
      </c>
      <c r="F78" s="49">
        <f>IFERROR('Cash Flow Data'!G11,0)</f>
        <v>-38</v>
      </c>
      <c r="G78" s="49">
        <f>IFERROR('Cash Flow Data'!H11,0)</f>
        <v>-35</v>
      </c>
      <c r="H78" s="49">
        <f>IFERROR('Cash Flow Data'!I11,0)</f>
        <v>-30</v>
      </c>
      <c r="I78" s="49">
        <f>IFERROR('Cash Flow Data'!J11,0)</f>
        <v>-18</v>
      </c>
      <c r="J78" s="49">
        <f>IFERROR('Cash Flow Data'!K11,0)</f>
        <v>-27</v>
      </c>
      <c r="K78" s="49">
        <f>IFERROR('Cash Flow Data'!L11,0)</f>
        <v>-39</v>
      </c>
      <c r="L78" s="49">
        <f>IFERROR('Cash Flow Data'!M11,0)</f>
        <v>-25</v>
      </c>
      <c r="M78" s="49">
        <f>IFERROR('Cash Flow Data'!N11,0)</f>
        <v>-32</v>
      </c>
      <c r="N78" s="48"/>
    </row>
    <row r="79" spans="1:14" x14ac:dyDescent="0.25">
      <c r="B79" s="50" t="s">
        <v>94</v>
      </c>
      <c r="C79" s="48"/>
      <c r="D79" s="49">
        <f>IFERROR('Cash Flow Data'!E12,0)</f>
        <v>0</v>
      </c>
      <c r="E79" s="49">
        <f>IFERROR('Cash Flow Data'!F12,0)</f>
        <v>0</v>
      </c>
      <c r="F79" s="49">
        <f>IFERROR('Cash Flow Data'!G12,0)</f>
        <v>0</v>
      </c>
      <c r="G79" s="49">
        <f>IFERROR('Cash Flow Data'!H12,0)</f>
        <v>-4</v>
      </c>
      <c r="H79" s="49">
        <f>IFERROR('Cash Flow Data'!I12,0)</f>
        <v>4</v>
      </c>
      <c r="I79" s="49">
        <f>IFERROR('Cash Flow Data'!J12,0)</f>
        <v>0</v>
      </c>
      <c r="J79" s="49">
        <f>IFERROR('Cash Flow Data'!K12,0)</f>
        <v>0</v>
      </c>
      <c r="K79" s="49">
        <f>IFERROR('Cash Flow Data'!L12,0)</f>
        <v>-18</v>
      </c>
      <c r="L79" s="49">
        <f>IFERROR('Cash Flow Data'!M12,0)</f>
        <v>4</v>
      </c>
      <c r="M79" s="49">
        <f>IFERROR('Cash Flow Data'!N12,0)</f>
        <v>0</v>
      </c>
      <c r="N79" s="48"/>
    </row>
    <row r="80" spans="1:14" s="24" customFormat="1" x14ac:dyDescent="0.25">
      <c r="B80" s="51" t="s">
        <v>112</v>
      </c>
      <c r="C80" s="47"/>
      <c r="D80" s="52">
        <f>IFERROR(SUM(D71:D79),0)</f>
        <v>135</v>
      </c>
      <c r="E80" s="52">
        <f t="shared" ref="E80:M80" si="22">IFERROR(SUM(E71:E79),0)</f>
        <v>20</v>
      </c>
      <c r="F80" s="52">
        <f t="shared" si="22"/>
        <v>44</v>
      </c>
      <c r="G80" s="52">
        <f t="shared" si="22"/>
        <v>-13</v>
      </c>
      <c r="H80" s="52">
        <f t="shared" si="22"/>
        <v>-105</v>
      </c>
      <c r="I80" s="52">
        <f t="shared" si="22"/>
        <v>250</v>
      </c>
      <c r="J80" s="52">
        <f t="shared" si="22"/>
        <v>-7</v>
      </c>
      <c r="K80" s="52">
        <f t="shared" si="22"/>
        <v>233</v>
      </c>
      <c r="L80" s="52">
        <f t="shared" si="22"/>
        <v>128</v>
      </c>
      <c r="M80" s="52">
        <f t="shared" si="22"/>
        <v>-21</v>
      </c>
      <c r="N80" s="47"/>
    </row>
    <row r="81" spans="2:14" x14ac:dyDescent="0.25">
      <c r="B81" s="50"/>
      <c r="C81" s="48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8"/>
    </row>
    <row r="82" spans="2:14" x14ac:dyDescent="0.25">
      <c r="B82" s="47" t="s">
        <v>110</v>
      </c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</row>
    <row r="83" spans="2:14" x14ac:dyDescent="0.25">
      <c r="B83" s="50" t="s">
        <v>95</v>
      </c>
      <c r="C83" s="48"/>
      <c r="D83" s="49">
        <f>IFERROR('Cash Flow Data'!E14,0)</f>
        <v>-13</v>
      </c>
      <c r="E83" s="49">
        <f>IFERROR('Cash Flow Data'!F14,0)</f>
        <v>-13</v>
      </c>
      <c r="F83" s="49">
        <f>IFERROR('Cash Flow Data'!G14,0)</f>
        <v>-16</v>
      </c>
      <c r="G83" s="49">
        <f>IFERROR('Cash Flow Data'!H14,0)</f>
        <v>-18</v>
      </c>
      <c r="H83" s="49">
        <f>IFERROR('Cash Flow Data'!I14,0)</f>
        <v>-22</v>
      </c>
      <c r="I83" s="49">
        <f>IFERROR('Cash Flow Data'!J14,0)</f>
        <v>-15</v>
      </c>
      <c r="J83" s="49">
        <f>IFERROR('Cash Flow Data'!K14,0)</f>
        <v>-17</v>
      </c>
      <c r="K83" s="49">
        <f>IFERROR('Cash Flow Data'!L14,0)</f>
        <v>-30</v>
      </c>
      <c r="L83" s="49">
        <f>IFERROR('Cash Flow Data'!M14,0)</f>
        <v>-23</v>
      </c>
      <c r="M83" s="49">
        <f>IFERROR('Cash Flow Data'!N14,0)</f>
        <v>-41</v>
      </c>
      <c r="N83" s="48"/>
    </row>
    <row r="84" spans="2:14" x14ac:dyDescent="0.25">
      <c r="B84" s="50" t="s">
        <v>96</v>
      </c>
      <c r="C84" s="48"/>
      <c r="D84" s="49">
        <f>IFERROR('Cash Flow Data'!E15,0)</f>
        <v>2</v>
      </c>
      <c r="E84" s="49">
        <f>IFERROR('Cash Flow Data'!F15,0)</f>
        <v>0</v>
      </c>
      <c r="F84" s="49">
        <f>IFERROR('Cash Flow Data'!G15,0)</f>
        <v>0</v>
      </c>
      <c r="G84" s="49">
        <f>IFERROR('Cash Flow Data'!H15,0)</f>
        <v>1</v>
      </c>
      <c r="H84" s="49">
        <f>IFERROR('Cash Flow Data'!I15,0)</f>
        <v>1</v>
      </c>
      <c r="I84" s="49">
        <f>IFERROR('Cash Flow Data'!J15,0)</f>
        <v>1</v>
      </c>
      <c r="J84" s="49">
        <f>IFERROR('Cash Flow Data'!K15,0)</f>
        <v>1</v>
      </c>
      <c r="K84" s="49">
        <f>IFERROR('Cash Flow Data'!L15,0)</f>
        <v>1</v>
      </c>
      <c r="L84" s="49">
        <f>IFERROR('Cash Flow Data'!M15,0)</f>
        <v>1</v>
      </c>
      <c r="M84" s="49">
        <f>IFERROR('Cash Flow Data'!N15,0)</f>
        <v>1</v>
      </c>
      <c r="N84" s="48"/>
    </row>
    <row r="85" spans="2:14" x14ac:dyDescent="0.25">
      <c r="B85" s="50" t="s">
        <v>97</v>
      </c>
      <c r="C85" s="48"/>
      <c r="D85" s="49">
        <f>IFERROR('Cash Flow Data'!E16,0)</f>
        <v>6</v>
      </c>
      <c r="E85" s="49">
        <f>IFERROR('Cash Flow Data'!F16,0)</f>
        <v>11</v>
      </c>
      <c r="F85" s="49">
        <f>IFERROR('Cash Flow Data'!G16,0)</f>
        <v>9</v>
      </c>
      <c r="G85" s="49">
        <f>IFERROR('Cash Flow Data'!H16,0)</f>
        <v>18</v>
      </c>
      <c r="H85" s="49">
        <f>IFERROR('Cash Flow Data'!I16,0)</f>
        <v>16</v>
      </c>
      <c r="I85" s="49">
        <f>IFERROR('Cash Flow Data'!J16,0)</f>
        <v>13</v>
      </c>
      <c r="J85" s="49">
        <f>IFERROR('Cash Flow Data'!K16,0)</f>
        <v>12</v>
      </c>
      <c r="K85" s="49">
        <f>IFERROR('Cash Flow Data'!L16,0)</f>
        <v>11</v>
      </c>
      <c r="L85" s="49">
        <f>IFERROR('Cash Flow Data'!M16,0)</f>
        <v>28</v>
      </c>
      <c r="M85" s="49">
        <f>IFERROR('Cash Flow Data'!N16,0)</f>
        <v>34</v>
      </c>
      <c r="N85" s="48"/>
    </row>
    <row r="86" spans="2:14" x14ac:dyDescent="0.25">
      <c r="B86" s="50" t="s">
        <v>98</v>
      </c>
      <c r="C86" s="48"/>
      <c r="D86" s="49">
        <f>IFERROR('Cash Flow Data'!E17,0)</f>
        <v>0</v>
      </c>
      <c r="E86" s="49">
        <f>IFERROR('Cash Flow Data'!F17,0)</f>
        <v>0</v>
      </c>
      <c r="F86" s="49">
        <f>IFERROR('Cash Flow Data'!G17,0)</f>
        <v>0</v>
      </c>
      <c r="G86" s="49">
        <f>IFERROR('Cash Flow Data'!H17,0)</f>
        <v>0</v>
      </c>
      <c r="H86" s="49">
        <f>IFERROR('Cash Flow Data'!I17,0)</f>
        <v>0</v>
      </c>
      <c r="I86" s="49">
        <f>IFERROR('Cash Flow Data'!J17,0)</f>
        <v>160</v>
      </c>
      <c r="J86" s="49">
        <f>IFERROR('Cash Flow Data'!K17,0)</f>
        <v>160</v>
      </c>
      <c r="K86" s="49">
        <f>IFERROR('Cash Flow Data'!L17,0)</f>
        <v>0</v>
      </c>
      <c r="L86" s="49">
        <f>IFERROR('Cash Flow Data'!M17,0)</f>
        <v>0</v>
      </c>
      <c r="M86" s="49">
        <f>IFERROR('Cash Flow Data'!N17,0)</f>
        <v>0</v>
      </c>
      <c r="N86" s="48"/>
    </row>
    <row r="87" spans="2:14" x14ac:dyDescent="0.25">
      <c r="B87" s="50" t="s">
        <v>99</v>
      </c>
      <c r="C87" s="48"/>
      <c r="D87" s="49">
        <f>IFERROR('Cash Flow Data'!E18,0)</f>
        <v>0</v>
      </c>
      <c r="E87" s="49">
        <f>IFERROR('Cash Flow Data'!F18,0)</f>
        <v>0</v>
      </c>
      <c r="F87" s="49">
        <f>IFERROR('Cash Flow Data'!G18,0)</f>
        <v>0</v>
      </c>
      <c r="G87" s="49">
        <f>IFERROR('Cash Flow Data'!H18,0)</f>
        <v>-160</v>
      </c>
      <c r="H87" s="49">
        <f>IFERROR('Cash Flow Data'!I18,0)</f>
        <v>0</v>
      </c>
      <c r="I87" s="49">
        <f>IFERROR('Cash Flow Data'!J18,0)</f>
        <v>-160</v>
      </c>
      <c r="J87" s="49">
        <f>IFERROR('Cash Flow Data'!K18,0)</f>
        <v>0</v>
      </c>
      <c r="K87" s="49">
        <f>IFERROR('Cash Flow Data'!L18,0)</f>
        <v>0</v>
      </c>
      <c r="L87" s="49">
        <f>IFERROR('Cash Flow Data'!M18,0)</f>
        <v>0</v>
      </c>
      <c r="M87" s="49">
        <f>IFERROR('Cash Flow Data'!N18,0)</f>
        <v>0</v>
      </c>
      <c r="N87" s="48"/>
    </row>
    <row r="88" spans="2:14" x14ac:dyDescent="0.25">
      <c r="B88" s="50" t="s">
        <v>100</v>
      </c>
      <c r="C88" s="48"/>
      <c r="D88" s="49">
        <f>IFERROR('Cash Flow Data'!E19,0)</f>
        <v>-81</v>
      </c>
      <c r="E88" s="49">
        <f>IFERROR('Cash Flow Data'!F19,0)</f>
        <v>-12</v>
      </c>
      <c r="F88" s="49">
        <f>IFERROR('Cash Flow Data'!G19,0)</f>
        <v>-59</v>
      </c>
      <c r="G88" s="49">
        <f>IFERROR('Cash Flow Data'!H19,0)</f>
        <v>147</v>
      </c>
      <c r="H88" s="49">
        <f>IFERROR('Cash Flow Data'!I19,0)</f>
        <v>53</v>
      </c>
      <c r="I88" s="49">
        <f>IFERROR('Cash Flow Data'!J19,0)</f>
        <v>-91</v>
      </c>
      <c r="J88" s="49">
        <f>IFERROR('Cash Flow Data'!K19,0)</f>
        <v>-140</v>
      </c>
      <c r="K88" s="49">
        <f>IFERROR('Cash Flow Data'!L19,0)</f>
        <v>-131</v>
      </c>
      <c r="L88" s="49">
        <f>IFERROR('Cash Flow Data'!M19,0)</f>
        <v>-103</v>
      </c>
      <c r="M88" s="49">
        <f>IFERROR('Cash Flow Data'!N19,0)</f>
        <v>-63</v>
      </c>
      <c r="N88" s="48"/>
    </row>
    <row r="89" spans="2:14" s="24" customFormat="1" x14ac:dyDescent="0.25">
      <c r="B89" s="51" t="s">
        <v>113</v>
      </c>
      <c r="C89" s="47"/>
      <c r="D89" s="52">
        <f>SUM(D83:D88)</f>
        <v>-86</v>
      </c>
      <c r="E89" s="52">
        <f t="shared" ref="E89:M89" si="23">SUM(E83:E88)</f>
        <v>-14</v>
      </c>
      <c r="F89" s="52">
        <f t="shared" si="23"/>
        <v>-66</v>
      </c>
      <c r="G89" s="52">
        <f t="shared" si="23"/>
        <v>-12</v>
      </c>
      <c r="H89" s="52">
        <f t="shared" si="23"/>
        <v>48</v>
      </c>
      <c r="I89" s="52">
        <f t="shared" si="23"/>
        <v>-92</v>
      </c>
      <c r="J89" s="52">
        <f t="shared" si="23"/>
        <v>16</v>
      </c>
      <c r="K89" s="52">
        <f t="shared" si="23"/>
        <v>-149</v>
      </c>
      <c r="L89" s="52">
        <f t="shared" si="23"/>
        <v>-97</v>
      </c>
      <c r="M89" s="52">
        <f t="shared" si="23"/>
        <v>-69</v>
      </c>
      <c r="N89" s="47"/>
    </row>
    <row r="90" spans="2:14" x14ac:dyDescent="0.25"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</row>
    <row r="91" spans="2:14" x14ac:dyDescent="0.25">
      <c r="B91" s="51" t="s">
        <v>111</v>
      </c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</row>
    <row r="92" spans="2:14" x14ac:dyDescent="0.25">
      <c r="B92" s="50" t="s">
        <v>101</v>
      </c>
      <c r="C92" s="48"/>
      <c r="D92" s="49">
        <f>IFERROR('Cash Flow Data'!E21,0)</f>
        <v>0</v>
      </c>
      <c r="E92" s="49">
        <f>IFERROR('Cash Flow Data'!F21,0)</f>
        <v>-0.4</v>
      </c>
      <c r="F92" s="49">
        <f>IFERROR('Cash Flow Data'!G21,0)</f>
        <v>-0.24</v>
      </c>
      <c r="G92" s="49">
        <f>IFERROR('Cash Flow Data'!H21,0)</f>
        <v>-0.12</v>
      </c>
      <c r="H92" s="49">
        <f>IFERROR('Cash Flow Data'!I21,0)</f>
        <v>-0.3</v>
      </c>
      <c r="I92" s="49">
        <f>IFERROR('Cash Flow Data'!J21,0)</f>
        <v>-0.28000000000000003</v>
      </c>
      <c r="J92" s="49">
        <f>IFERROR('Cash Flow Data'!K21,0)</f>
        <v>-0.35</v>
      </c>
      <c r="K92" s="49">
        <f>IFERROR('Cash Flow Data'!L21,0)</f>
        <v>-0.44</v>
      </c>
      <c r="L92" s="49">
        <f>IFERROR('Cash Flow Data'!M21,0)</f>
        <v>-0.37</v>
      </c>
      <c r="M92" s="49">
        <f>IFERROR('Cash Flow Data'!N21,0)</f>
        <v>-0.41</v>
      </c>
      <c r="N92" s="48"/>
    </row>
    <row r="93" spans="2:14" x14ac:dyDescent="0.25">
      <c r="B93" s="50" t="s">
        <v>102</v>
      </c>
      <c r="C93" s="48"/>
      <c r="D93" s="49">
        <f>IFERROR('Cash Flow Data'!E22,0)</f>
        <v>-6.09</v>
      </c>
      <c r="E93" s="49">
        <f>IFERROR('Cash Flow Data'!F22,0)</f>
        <v>-6.09</v>
      </c>
      <c r="F93" s="49">
        <f>IFERROR('Cash Flow Data'!G22,0)</f>
        <v>-7.61</v>
      </c>
      <c r="G93" s="49">
        <f>IFERROR('Cash Flow Data'!H22,0)</f>
        <v>-9.1300000000000008</v>
      </c>
      <c r="H93" s="49">
        <f>IFERROR('Cash Flow Data'!I22,0)</f>
        <v>-10.14</v>
      </c>
      <c r="I93" s="49">
        <f>IFERROR('Cash Flow Data'!J22,0)</f>
        <v>-12.68</v>
      </c>
      <c r="J93" s="49">
        <f>IFERROR('Cash Flow Data'!K22,0)</f>
        <v>-10.14</v>
      </c>
      <c r="K93" s="49">
        <f>IFERROR('Cash Flow Data'!L22,0)</f>
        <v>-15.21</v>
      </c>
      <c r="L93" s="49">
        <f>IFERROR('Cash Flow Data'!M22,0)</f>
        <v>-16.73</v>
      </c>
      <c r="M93" s="49">
        <f>IFERROR('Cash Flow Data'!N22,0)</f>
        <v>-27.78</v>
      </c>
      <c r="N93" s="48"/>
    </row>
    <row r="94" spans="2:14" x14ac:dyDescent="0.25">
      <c r="B94" s="50" t="s">
        <v>103</v>
      </c>
      <c r="C94" s="48"/>
      <c r="D94" s="49">
        <f>IFERROR('Cash Flow Data'!E23,0)</f>
        <v>0</v>
      </c>
      <c r="E94" s="49">
        <f>IFERROR('Cash Flow Data'!F23,0)</f>
        <v>0</v>
      </c>
      <c r="F94" s="49">
        <f>IFERROR('Cash Flow Data'!G23,0)</f>
        <v>0</v>
      </c>
      <c r="G94" s="49">
        <f>IFERROR('Cash Flow Data'!H23,0)</f>
        <v>0</v>
      </c>
      <c r="H94" s="49">
        <f>IFERROR('Cash Flow Data'!I23,0)</f>
        <v>-0.59</v>
      </c>
      <c r="I94" s="49">
        <f>IFERROR('Cash Flow Data'!J23,0)</f>
        <v>-0.63</v>
      </c>
      <c r="J94" s="49">
        <f>IFERROR('Cash Flow Data'!K23,0)</f>
        <v>-0.8</v>
      </c>
      <c r="K94" s="49">
        <f>IFERROR('Cash Flow Data'!L23,0)</f>
        <v>-0.55000000000000004</v>
      </c>
      <c r="L94" s="49">
        <f>IFERROR('Cash Flow Data'!M23,0)</f>
        <v>-0.44</v>
      </c>
      <c r="M94" s="49">
        <f>IFERROR('Cash Flow Data'!N23,0)</f>
        <v>-0.26</v>
      </c>
      <c r="N94" s="48"/>
    </row>
    <row r="95" spans="2:14" x14ac:dyDescent="0.25">
      <c r="B95" s="50" t="s">
        <v>104</v>
      </c>
      <c r="C95" s="48"/>
      <c r="D95" s="49">
        <f>IFERROR('Cash Flow Data'!E24,0)</f>
        <v>-1.24</v>
      </c>
      <c r="E95" s="49">
        <f>IFERROR('Cash Flow Data'!F24,0)</f>
        <v>-1.24</v>
      </c>
      <c r="F95" s="49">
        <f>IFERROR('Cash Flow Data'!G24,0)</f>
        <v>-1.55</v>
      </c>
      <c r="G95" s="49">
        <f>IFERROR('Cash Flow Data'!H24,0)</f>
        <v>-1.88</v>
      </c>
      <c r="H95" s="49">
        <f>IFERROR('Cash Flow Data'!I24,0)</f>
        <v>-2.08</v>
      </c>
      <c r="I95" s="49">
        <f>IFERROR('Cash Flow Data'!J24,0)</f>
        <v>0</v>
      </c>
      <c r="J95" s="49">
        <f>IFERROR('Cash Flow Data'!K24,0)</f>
        <v>0</v>
      </c>
      <c r="K95" s="49">
        <f>IFERROR('Cash Flow Data'!L24,0)</f>
        <v>0</v>
      </c>
      <c r="L95" s="49">
        <f>IFERROR('Cash Flow Data'!M24,0)</f>
        <v>0</v>
      </c>
      <c r="M95" s="49">
        <f>IFERROR('Cash Flow Data'!N24,0)</f>
        <v>0</v>
      </c>
      <c r="N95" s="48"/>
    </row>
    <row r="96" spans="2:14" s="24" customFormat="1" x14ac:dyDescent="0.25">
      <c r="B96" s="51" t="s">
        <v>114</v>
      </c>
      <c r="C96" s="47"/>
      <c r="D96" s="52">
        <f t="shared" ref="D96:M96" si="24">SUM(D92:D95)</f>
        <v>-7.33</v>
      </c>
      <c r="E96" s="52">
        <f t="shared" si="24"/>
        <v>-7.73</v>
      </c>
      <c r="F96" s="52">
        <f t="shared" si="24"/>
        <v>-9.4</v>
      </c>
      <c r="G96" s="52">
        <f t="shared" si="24"/>
        <v>-11.129999999999999</v>
      </c>
      <c r="H96" s="52">
        <f t="shared" si="24"/>
        <v>-13.110000000000001</v>
      </c>
      <c r="I96" s="52">
        <f t="shared" si="24"/>
        <v>-13.59</v>
      </c>
      <c r="J96" s="52">
        <f t="shared" si="24"/>
        <v>-11.290000000000001</v>
      </c>
      <c r="K96" s="52">
        <f t="shared" si="24"/>
        <v>-16.2</v>
      </c>
      <c r="L96" s="52">
        <f t="shared" si="24"/>
        <v>-17.540000000000003</v>
      </c>
      <c r="M96" s="52">
        <f t="shared" si="24"/>
        <v>-28.450000000000003</v>
      </c>
      <c r="N96" s="47"/>
    </row>
    <row r="97" spans="2:14" x14ac:dyDescent="0.25"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</row>
    <row r="98" spans="2:14" s="24" customFormat="1" x14ac:dyDescent="0.25">
      <c r="B98" s="51" t="s">
        <v>115</v>
      </c>
      <c r="C98" s="47"/>
      <c r="D98" s="52">
        <f t="shared" ref="D98:M98" si="25">IFERROR(D96+D89+D80,0)</f>
        <v>41.67</v>
      </c>
      <c r="E98" s="52">
        <f t="shared" si="25"/>
        <v>-1.7300000000000004</v>
      </c>
      <c r="F98" s="52">
        <f t="shared" si="25"/>
        <v>-31.400000000000006</v>
      </c>
      <c r="G98" s="52">
        <f t="shared" si="25"/>
        <v>-36.129999999999995</v>
      </c>
      <c r="H98" s="52">
        <f t="shared" si="25"/>
        <v>-70.11</v>
      </c>
      <c r="I98" s="52">
        <f t="shared" si="25"/>
        <v>144.41</v>
      </c>
      <c r="J98" s="52">
        <f t="shared" si="25"/>
        <v>-2.2900000000000009</v>
      </c>
      <c r="K98" s="52">
        <f t="shared" si="25"/>
        <v>67.800000000000011</v>
      </c>
      <c r="L98" s="52">
        <f t="shared" si="25"/>
        <v>13.459999999999994</v>
      </c>
      <c r="M98" s="52">
        <f t="shared" si="25"/>
        <v>-118.45</v>
      </c>
      <c r="N98" s="47"/>
    </row>
    <row r="99" spans="2:14" x14ac:dyDescent="0.25"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</row>
    <row r="103" spans="2:14" x14ac:dyDescent="0.25">
      <c r="B103" t="s">
        <v>116</v>
      </c>
    </row>
    <row r="105" spans="2:14" x14ac:dyDescent="0.25">
      <c r="B105" s="6" t="s">
        <v>48</v>
      </c>
      <c r="D105" s="49">
        <f>IFERROR('Data Sheet'!B82,0)</f>
        <v>101.07</v>
      </c>
      <c r="E105" s="49">
        <f>IFERROR('Data Sheet'!C82,0)</f>
        <v>39.880000000000003</v>
      </c>
      <c r="F105" s="49">
        <f>IFERROR('Data Sheet'!D82,0)</f>
        <v>55</v>
      </c>
      <c r="G105" s="49">
        <f>IFERROR('Data Sheet'!E82,0)</f>
        <v>20.59</v>
      </c>
      <c r="H105" s="49">
        <f>IFERROR('Data Sheet'!F82,0)</f>
        <v>-17.62</v>
      </c>
      <c r="I105" s="49">
        <f>IFERROR('Data Sheet'!G82,0)</f>
        <v>151.51</v>
      </c>
      <c r="J105" s="49">
        <f>IFERROR('Data Sheet'!H82,0)</f>
        <v>36.9</v>
      </c>
      <c r="K105" s="49">
        <f>IFERROR('Data Sheet'!I82,0)</f>
        <v>157.33000000000001</v>
      </c>
      <c r="L105" s="49">
        <f>IFERROR('Data Sheet'!J82,0)</f>
        <v>105.64</v>
      </c>
      <c r="M105" s="49">
        <f>IFERROR('Data Sheet'!K82,0)</f>
        <v>22.09</v>
      </c>
    </row>
    <row r="106" spans="2:14" x14ac:dyDescent="0.25">
      <c r="B106" s="6" t="s">
        <v>49</v>
      </c>
      <c r="D106" s="49">
        <f>IFERROR('Data Sheet'!B83,0)</f>
        <v>-86.38</v>
      </c>
      <c r="E106" s="49">
        <f>IFERROR('Data Sheet'!C83,0)</f>
        <v>-13.87</v>
      </c>
      <c r="F106" s="49">
        <f>IFERROR('Data Sheet'!D83,0)</f>
        <v>-65.48</v>
      </c>
      <c r="G106" s="49">
        <f>IFERROR('Data Sheet'!E83,0)</f>
        <v>-12.66</v>
      </c>
      <c r="H106" s="49">
        <f>IFERROR('Data Sheet'!F83,0)</f>
        <v>47.4</v>
      </c>
      <c r="I106" s="49">
        <f>IFERROR('Data Sheet'!G83,0)</f>
        <v>-92.29</v>
      </c>
      <c r="J106" s="49">
        <f>IFERROR('Data Sheet'!H83,0)</f>
        <v>16.010000000000002</v>
      </c>
      <c r="K106" s="49">
        <f>IFERROR('Data Sheet'!I83,0)</f>
        <v>-148.36000000000001</v>
      </c>
      <c r="L106" s="49">
        <f>IFERROR('Data Sheet'!J83,0)</f>
        <v>-96.69</v>
      </c>
      <c r="M106" s="49">
        <f>IFERROR('Data Sheet'!K83,0)</f>
        <v>-69.05</v>
      </c>
    </row>
    <row r="107" spans="2:14" x14ac:dyDescent="0.25">
      <c r="B107" s="6" t="s">
        <v>50</v>
      </c>
      <c r="D107" s="49">
        <f>IFERROR('Data Sheet'!B84,0)</f>
        <v>-7.32</v>
      </c>
      <c r="E107" s="49">
        <f>IFERROR('Data Sheet'!C84,0)</f>
        <v>-7.73</v>
      </c>
      <c r="F107" s="49">
        <f>IFERROR('Data Sheet'!D84,0)</f>
        <v>-9.4</v>
      </c>
      <c r="G107" s="49">
        <f>IFERROR('Data Sheet'!E84,0)</f>
        <v>-11.13</v>
      </c>
      <c r="H107" s="49">
        <f>IFERROR('Data Sheet'!F84,0)</f>
        <v>-13.11</v>
      </c>
      <c r="I107" s="49">
        <f>IFERROR('Data Sheet'!G84,0)</f>
        <v>-13.59</v>
      </c>
      <c r="J107" s="49">
        <f>IFERROR('Data Sheet'!H84,0)</f>
        <v>-11.29</v>
      </c>
      <c r="K107" s="49">
        <f>IFERROR('Data Sheet'!I84,0)</f>
        <v>-16.2</v>
      </c>
      <c r="L107" s="49">
        <f>IFERROR('Data Sheet'!J84,0)</f>
        <v>-17.54</v>
      </c>
      <c r="M107" s="49">
        <f>IFERROR('Data Sheet'!K84,0)</f>
        <v>-28.45</v>
      </c>
    </row>
    <row r="108" spans="2:14" x14ac:dyDescent="0.25">
      <c r="B108" s="6" t="s">
        <v>51</v>
      </c>
      <c r="D108" s="49">
        <f>IFERROR('Data Sheet'!B85,0)</f>
        <v>7.37</v>
      </c>
      <c r="E108" s="49">
        <f>IFERROR('Data Sheet'!C85,0)</f>
        <v>18.28</v>
      </c>
      <c r="F108" s="49">
        <f>IFERROR('Data Sheet'!D85,0)</f>
        <v>-19.88</v>
      </c>
      <c r="G108" s="49">
        <f>IFERROR('Data Sheet'!E85,0)</f>
        <v>-3.2</v>
      </c>
      <c r="H108" s="49">
        <f>IFERROR('Data Sheet'!F85,0)</f>
        <v>16.670000000000002</v>
      </c>
      <c r="I108" s="49">
        <f>IFERROR('Data Sheet'!G85,0)</f>
        <v>45.63</v>
      </c>
      <c r="J108" s="49">
        <f>IFERROR('Data Sheet'!H85,0)</f>
        <v>41.62</v>
      </c>
      <c r="K108" s="49">
        <f>IFERROR('Data Sheet'!I85,0)</f>
        <v>-7.23</v>
      </c>
      <c r="L108" s="49">
        <f>IFERROR('Data Sheet'!J85,0)</f>
        <v>-8.59</v>
      </c>
      <c r="M108" s="49">
        <f>IFERROR('Data Sheet'!K85,0)</f>
        <v>-75.41</v>
      </c>
    </row>
  </sheetData>
  <mergeCells count="1">
    <mergeCell ref="B2:N2"/>
  </mergeCells>
  <pageMargins left="0.7" right="0.7" top="0.75" bottom="0.75" header="0.3" footer="0.3"/>
  <ignoredErrors>
    <ignoredError sqref="D15 E15:N15 N21 N2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4168E-3326-442E-B3EA-44C7F07EF0D0}">
  <dimension ref="B2:S42"/>
  <sheetViews>
    <sheetView showGridLines="0" tabSelected="1" zoomScale="154" zoomScaleNormal="118" workbookViewId="0">
      <pane xSplit="1" ySplit="3" topLeftCell="B15" activePane="bottomRight" state="frozen"/>
      <selection pane="topRight" activeCell="B1" sqref="B1"/>
      <selection pane="bottomLeft" activeCell="A4" sqref="A4"/>
      <selection pane="bottomRight" activeCell="R22" sqref="R22"/>
    </sheetView>
  </sheetViews>
  <sheetFormatPr defaultRowHeight="15" x14ac:dyDescent="0.25"/>
  <cols>
    <col min="1" max="1" width="1.85546875" customWidth="1"/>
    <col min="2" max="2" width="25.5703125" bestFit="1" customWidth="1"/>
    <col min="3" max="3" width="6.7109375" customWidth="1"/>
    <col min="4" max="4" width="8" bestFit="1" customWidth="1"/>
    <col min="5" max="5" width="10.28515625" bestFit="1" customWidth="1"/>
    <col min="6" max="6" width="10.7109375" bestFit="1" customWidth="1"/>
    <col min="7" max="7" width="9.5703125" bestFit="1" customWidth="1"/>
    <col min="8" max="10" width="10.7109375" bestFit="1" customWidth="1"/>
    <col min="11" max="13" width="8" bestFit="1" customWidth="1"/>
    <col min="14" max="14" width="7" bestFit="1" customWidth="1"/>
    <col min="15" max="16" width="9.5703125" bestFit="1" customWidth="1"/>
    <col min="18" max="18" width="37.7109375" bestFit="1" customWidth="1"/>
    <col min="19" max="19" width="45.85546875" bestFit="1" customWidth="1"/>
  </cols>
  <sheetData>
    <row r="2" spans="2:18" x14ac:dyDescent="0.25">
      <c r="B2" s="73" t="str">
        <f>"Ratio analysis  - "&amp;'Data Sheet'!B1</f>
        <v>Ratio analysis  - HONDA INDIA POWER PRODUCTS LTD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</row>
    <row r="3" spans="2:18" x14ac:dyDescent="0.25">
      <c r="B3" s="9" t="s">
        <v>55</v>
      </c>
      <c r="C3" s="12"/>
      <c r="D3" s="10">
        <f>'Data Sheet'!B16</f>
        <v>42460</v>
      </c>
      <c r="E3" s="10">
        <f>'Data Sheet'!C16</f>
        <v>42825</v>
      </c>
      <c r="F3" s="10">
        <f>'Data Sheet'!D16</f>
        <v>43190</v>
      </c>
      <c r="G3" s="10">
        <f>'Data Sheet'!E16</f>
        <v>43555</v>
      </c>
      <c r="H3" s="10">
        <f>'Data Sheet'!F16</f>
        <v>43921</v>
      </c>
      <c r="I3" s="10">
        <f>'Data Sheet'!G16</f>
        <v>44286</v>
      </c>
      <c r="J3" s="10">
        <f>'Data Sheet'!H16</f>
        <v>44651</v>
      </c>
      <c r="K3" s="10">
        <f>'Data Sheet'!I16</f>
        <v>45016</v>
      </c>
      <c r="L3" s="10">
        <f>'Data Sheet'!J16</f>
        <v>45382</v>
      </c>
      <c r="M3" s="10">
        <f>'Data Sheet'!K16</f>
        <v>45747</v>
      </c>
      <c r="N3" s="11" t="s">
        <v>155</v>
      </c>
      <c r="O3" s="11" t="s">
        <v>153</v>
      </c>
      <c r="P3" s="11" t="s">
        <v>154</v>
      </c>
      <c r="Q3" s="8"/>
    </row>
    <row r="4" spans="2:18" s="18" customFormat="1" x14ac:dyDescent="0.25">
      <c r="B4" s="19"/>
      <c r="D4" s="20"/>
      <c r="E4" s="20"/>
      <c r="F4" s="20"/>
      <c r="G4" s="20"/>
      <c r="H4" s="20"/>
      <c r="I4" s="20"/>
      <c r="J4" s="20"/>
      <c r="K4" s="20"/>
      <c r="L4" s="20"/>
      <c r="M4" s="20"/>
      <c r="N4" s="21"/>
      <c r="O4" s="21"/>
      <c r="P4" s="21"/>
      <c r="Q4" s="21"/>
    </row>
    <row r="5" spans="2:18" x14ac:dyDescent="0.25">
      <c r="B5" s="57" t="s">
        <v>119</v>
      </c>
      <c r="C5" s="57"/>
      <c r="D5" s="57"/>
      <c r="E5" s="58">
        <f>IFERROR(historicalFS!E7,0)</f>
        <v>4.3058218516371705E-2</v>
      </c>
      <c r="F5" s="58">
        <f>IFERROR(historicalFS!F7,0)</f>
        <v>9.4075066260081552E-2</v>
      </c>
      <c r="G5" s="58">
        <f>IFERROR(historicalFS!G7,0)</f>
        <v>6.2620474081792166E-2</v>
      </c>
      <c r="H5" s="58">
        <f>IFERROR(historicalFS!H7,0)</f>
        <v>4.0152963671128195E-2</v>
      </c>
      <c r="I5" s="58">
        <f>IFERROR(historicalFS!I7,0)</f>
        <v>0.10640554298642546</v>
      </c>
      <c r="J5" s="58">
        <f>IFERROR(historicalFS!J7,0)</f>
        <v>0.23148443990031309</v>
      </c>
      <c r="K5" s="58">
        <f>IFERROR(historicalFS!K7,0)</f>
        <v>7.7835145162545638E-2</v>
      </c>
      <c r="L5" s="58">
        <f>IFERROR(historicalFS!L7,0)</f>
        <v>-0.20638856124978933</v>
      </c>
      <c r="M5" s="58">
        <f>IFERROR(historicalFS!M7,0)</f>
        <v>-0.19699313496516935</v>
      </c>
      <c r="N5" s="57"/>
      <c r="O5" s="58">
        <f>IFERROR(AVERAGE(E5:M5),0)</f>
        <v>2.8027794929299903E-2</v>
      </c>
      <c r="P5" s="58">
        <f>IFERROR(MEDIAN(E5:M5),0)</f>
        <v>6.2620474081792166E-2</v>
      </c>
    </row>
    <row r="6" spans="2:18" x14ac:dyDescent="0.25">
      <c r="B6" t="s">
        <v>120</v>
      </c>
      <c r="E6" s="59">
        <f>IFERROR((historicalFS!E18-historicalFS!D18)/historicalFS!D18,0)</f>
        <v>6.8361700637389181E-2</v>
      </c>
      <c r="F6" s="59">
        <f>IFERROR((historicalFS!F18-historicalFS!E18)/historicalFS!E18,0)</f>
        <v>0.14161148626499723</v>
      </c>
      <c r="G6" s="59">
        <f>IFERROR((historicalFS!G18-historicalFS!F18)/historicalFS!F18,0)</f>
        <v>5.8576925285709937E-3</v>
      </c>
      <c r="H6" s="59">
        <f>IFERROR((historicalFS!H18-historicalFS!G18)/historicalFS!G18,0)</f>
        <v>6.9483300028546538E-2</v>
      </c>
      <c r="I6" s="59">
        <f>IFERROR((historicalFS!I18-historicalFS!H18)/historicalFS!H18,0)</f>
        <v>-0.11696562032884841</v>
      </c>
      <c r="J6" s="59">
        <f>IFERROR((historicalFS!J18-historicalFS!I18)/historicalFS!I18,0)</f>
        <v>0.22864397557584062</v>
      </c>
      <c r="K6" s="59">
        <f>IFERROR((historicalFS!K18-historicalFS!J18)/historicalFS!J18,0)</f>
        <v>0.28204497367514658</v>
      </c>
      <c r="L6" s="59">
        <f>IFERROR((historicalFS!L18-historicalFS!K18)/historicalFS!K18,0)</f>
        <v>-0.30163116484359981</v>
      </c>
      <c r="M6" s="59">
        <f>IFERROR((historicalFS!M18-historicalFS!L18)/historicalFS!L18,0)</f>
        <v>-1.5607825895801447E-2</v>
      </c>
      <c r="O6" s="59">
        <f t="shared" ref="O6:O9" si="0">IFERROR(AVERAGE(E6:M6),0)</f>
        <v>4.0199835293582377E-2</v>
      </c>
      <c r="P6" s="59">
        <f t="shared" ref="P6:P9" si="1">IFERROR(MEDIAN(E6:M6),0)</f>
        <v>6.8361700637389181E-2</v>
      </c>
    </row>
    <row r="7" spans="2:18" x14ac:dyDescent="0.25">
      <c r="B7" t="s">
        <v>121</v>
      </c>
      <c r="E7" s="59">
        <f>IFERROR(historicalFS!E27/historicalFS!D27-1,0)</f>
        <v>8.6065226598899258E-2</v>
      </c>
      <c r="F7" s="59">
        <f>IFERROR(historicalFS!F27/historicalFS!E27-1,0)</f>
        <v>0.17736526012011544</v>
      </c>
      <c r="G7" s="59">
        <f>IFERROR(historicalFS!G27/historicalFS!F27-1,0)</f>
        <v>1.6561775422325731E-2</v>
      </c>
      <c r="H7" s="59">
        <f>IFERROR(historicalFS!H27/historicalFS!G27-1,0)</f>
        <v>7.2205930270445862E-2</v>
      </c>
      <c r="I7" s="59">
        <f>IFERROR(historicalFS!I27/historicalFS!H27-1,0)</f>
        <v>-0.12186227435725949</v>
      </c>
      <c r="J7" s="59">
        <f>IFERROR(historicalFS!J27/historicalFS!I27-1,0)</f>
        <v>0.27200996677740741</v>
      </c>
      <c r="K7" s="59">
        <f>IFERROR(historicalFS!K27/historicalFS!J27-1,0)</f>
        <v>0.30112090543040604</v>
      </c>
      <c r="L7" s="59">
        <f>IFERROR(historicalFS!L27/historicalFS!K27-1,0)</f>
        <v>-0.32581967213114726</v>
      </c>
      <c r="M7" s="59">
        <f>IFERROR(historicalFS!M27/historicalFS!L27-1,0)</f>
        <v>-2.7355623100304149E-2</v>
      </c>
      <c r="O7" s="59">
        <f t="shared" si="0"/>
        <v>5.0032388336765425E-2</v>
      </c>
      <c r="P7" s="59">
        <f t="shared" si="1"/>
        <v>7.2205930270445862E-2</v>
      </c>
    </row>
    <row r="8" spans="2:18" x14ac:dyDescent="0.25">
      <c r="B8" t="s">
        <v>122</v>
      </c>
      <c r="E8" s="59">
        <f>IFERROR(historicalFS!E33/historicalFS!D33-1,0)</f>
        <v>6.6114802309117149E-2</v>
      </c>
      <c r="F8" s="59">
        <f>IFERROR(historicalFS!F33/historicalFS!E33-1,0)</f>
        <v>0.20576215774417661</v>
      </c>
      <c r="G8" s="59">
        <f>IFERROR(historicalFS!G33/historicalFS!F33-1,0)</f>
        <v>5.3126588713778178E-2</v>
      </c>
      <c r="H8" s="59">
        <f>IFERROR(historicalFS!H33/historicalFS!G33-1,0)</f>
        <v>0.13138627403652681</v>
      </c>
      <c r="I8" s="59">
        <f>IFERROR(historicalFS!I33/historicalFS!H33-1,0)</f>
        <v>-9.6785663490256746E-2</v>
      </c>
      <c r="J8" s="59">
        <f>IFERROR(historicalFS!J33/historicalFS!I33-1,0)</f>
        <v>0.24596488465475019</v>
      </c>
      <c r="K8" s="59">
        <f>IFERROR(historicalFS!K33/historicalFS!J33-1,0)</f>
        <v>0.31949447077409165</v>
      </c>
      <c r="L8" s="59">
        <f>IFERROR(historicalFS!L33/historicalFS!K33-1,0)</f>
        <v>-0.37890905607968939</v>
      </c>
      <c r="M8" s="59">
        <f>IFERROR(historicalFS!M33/historicalFS!L33-1,0)</f>
        <v>-5.0119515768370926E-3</v>
      </c>
      <c r="O8" s="59">
        <f t="shared" si="0"/>
        <v>6.0126945231739705E-2</v>
      </c>
      <c r="P8" s="59">
        <f t="shared" si="1"/>
        <v>6.6114802309117149E-2</v>
      </c>
      <c r="R8" t="s">
        <v>144</v>
      </c>
    </row>
    <row r="9" spans="2:18" x14ac:dyDescent="0.25">
      <c r="B9" s="60" t="s">
        <v>123</v>
      </c>
      <c r="C9" s="60"/>
      <c r="D9" s="60"/>
      <c r="E9" s="61">
        <f>IFERROR(historicalFS!E41/historicalFS!D41-1,0)</f>
        <v>0.25</v>
      </c>
      <c r="F9" s="61">
        <f>IFERROR(historicalFS!F41/historicalFS!E41-1,0)</f>
        <v>0.20131578947368434</v>
      </c>
      <c r="G9" s="61">
        <f>IFERROR(historicalFS!G41/historicalFS!F41-1,0)</f>
        <v>0.11062431544359264</v>
      </c>
      <c r="H9" s="61">
        <f>IFERROR(historicalFS!H41/historicalFS!G41-1,0)</f>
        <v>0.25049309664694275</v>
      </c>
      <c r="I9" s="61">
        <f>IFERROR(historicalFS!I41/historicalFS!H41-1,0)</f>
        <v>-0.20031545741324919</v>
      </c>
      <c r="J9" s="61">
        <f>IFERROR(historicalFS!J41/historicalFS!I41-1,0)</f>
        <v>0.5</v>
      </c>
      <c r="K9" s="61">
        <f>IFERROR(historicalFS!K41/historicalFS!J41-1,0)</f>
        <v>9.9934253780407545E-2</v>
      </c>
      <c r="L9" s="61">
        <f>IFERROR(historicalFS!L41/historicalFS!K41-1,0)</f>
        <v>6.0370591751344849E-2</v>
      </c>
      <c r="M9" s="61">
        <f>IFERROR(historicalFS!M41/historicalFS!L41-1,0)</f>
        <v>0.22886133032694489</v>
      </c>
      <c r="N9" s="60"/>
      <c r="O9" s="61">
        <f t="shared" si="0"/>
        <v>0.16680932444551866</v>
      </c>
      <c r="P9" s="61">
        <f t="shared" si="1"/>
        <v>0.20131578947368434</v>
      </c>
    </row>
    <row r="10" spans="2:18" x14ac:dyDescent="0.25">
      <c r="O10" s="14"/>
      <c r="P10" s="14"/>
    </row>
    <row r="11" spans="2:18" x14ac:dyDescent="0.25">
      <c r="B11" s="57" t="s">
        <v>124</v>
      </c>
      <c r="C11" s="57"/>
      <c r="D11" s="58">
        <f>IFERROR(historicalFS!D13,0)</f>
        <v>0.39146267148229064</v>
      </c>
      <c r="E11" s="58">
        <f>IFERROR(historicalFS!E13,0)</f>
        <v>0.38513494257459602</v>
      </c>
      <c r="F11" s="58">
        <f>IFERROR(historicalFS!F13,0)</f>
        <v>0.38555613441000258</v>
      </c>
      <c r="G11" s="58">
        <f>IFERROR(historicalFS!G13,0)</f>
        <v>0.36348482619993144</v>
      </c>
      <c r="H11" s="58">
        <f>IFERROR(historicalFS!H13,0)</f>
        <v>0.38209370286576166</v>
      </c>
      <c r="I11" s="58">
        <f>IFERROR(historicalFS!I13,0)</f>
        <v>0.33296057256054712</v>
      </c>
      <c r="J11" s="58">
        <f>IFERROR(historicalFS!J13,0)</f>
        <v>0.34794039557550438</v>
      </c>
      <c r="K11" s="58">
        <f>IFERROR(historicalFS!K13,0)</f>
        <v>0.37506519349429102</v>
      </c>
      <c r="L11" s="58">
        <f>IFERROR(historicalFS!L13,0)</f>
        <v>0.36975138261194862</v>
      </c>
      <c r="M11" s="58">
        <f>IFERROR(historicalFS!M13,0)</f>
        <v>0.41572340505898797</v>
      </c>
      <c r="N11" s="57"/>
      <c r="O11" s="58">
        <f>IFERROR(AVERAGE(D11:M11),0)</f>
        <v>0.37491732268338612</v>
      </c>
      <c r="P11" s="58">
        <f>IFERROR(MEDIAN(D11:M11),0)</f>
        <v>0.37857944818002631</v>
      </c>
    </row>
    <row r="12" spans="2:18" x14ac:dyDescent="0.25">
      <c r="B12" t="s">
        <v>66</v>
      </c>
      <c r="D12" s="59">
        <f>IFERROR(historicalFS!D19,0)</f>
        <v>0.21219958086235333</v>
      </c>
      <c r="E12" s="59">
        <f>IFERROR(historicalFS!E19,0)</f>
        <v>0.21734731682293593</v>
      </c>
      <c r="F12" s="59">
        <f>IFERROR(historicalFS!F19,0)</f>
        <v>0.22679083094555874</v>
      </c>
      <c r="G12" s="59">
        <f>IFERROR(historicalFS!G19,0)</f>
        <v>0.21467617786929458</v>
      </c>
      <c r="H12" s="59">
        <f>IFERROR(historicalFS!H19,0)</f>
        <v>0.22072963800904977</v>
      </c>
      <c r="I12" s="59">
        <f>IFERROR(historicalFS!I19,0)</f>
        <v>0.17616674121882134</v>
      </c>
      <c r="J12" s="59">
        <f>IFERROR(historicalFS!J19,0)</f>
        <v>0.17576040612649071</v>
      </c>
      <c r="K12" s="59">
        <f>IFERROR(historicalFS!K19,0)</f>
        <v>0.20906049153888739</v>
      </c>
      <c r="L12" s="59">
        <f>IFERROR(historicalFS!L19,0)</f>
        <v>0.1839708008533269</v>
      </c>
      <c r="M12" s="59">
        <f>IFERROR(historicalFS!M19,0)</f>
        <v>0.22552661067952609</v>
      </c>
      <c r="O12" s="59">
        <f t="shared" ref="O12:O15" si="2">IFERROR(AVERAGE(D12:M12),0)</f>
        <v>0.20622285949262448</v>
      </c>
      <c r="P12" s="59">
        <f t="shared" ref="P12:P15" si="3">IFERROR(MEDIAN(D12:M12),0)</f>
        <v>0.21343787936582395</v>
      </c>
    </row>
    <row r="13" spans="2:18" x14ac:dyDescent="0.25">
      <c r="B13" t="s">
        <v>125</v>
      </c>
      <c r="D13" s="59">
        <f>IFERROR((historicalFS!D18-historicalFS!D24)/historicalFS!D6,0)</f>
        <v>0.17679582645917857</v>
      </c>
      <c r="E13" s="59">
        <f>IFERROR((historicalFS!E18-historicalFS!E24)/historicalFS!E6,0)</f>
        <v>0.18393228647154378</v>
      </c>
      <c r="F13" s="59">
        <f>IFERROR((historicalFS!F18-historicalFS!F24)/historicalFS!F6,0)</f>
        <v>0.19747330033862986</v>
      </c>
      <c r="G13" s="59">
        <f>IFERROR((historicalFS!G18-historicalFS!G24)/historicalFS!G6,0)</f>
        <v>0.18877776143550531</v>
      </c>
      <c r="H13" s="59">
        <f>IFERROR((historicalFS!H18-historicalFS!H24)/historicalFS!H6,0)</f>
        <v>0.19471153846153846</v>
      </c>
      <c r="I13" s="59">
        <f>IFERROR((historicalFS!I18-historicalFS!I24)/historicalFS!I6,0)</f>
        <v>0.15458921762838959</v>
      </c>
      <c r="J13" s="59">
        <f>IFERROR((historicalFS!J18-historicalFS!J24)/historicalFS!J6,0)</f>
        <v>0.15974366292193129</v>
      </c>
      <c r="K13" s="59">
        <f>IFERROR((historicalFS!K18-historicalFS!K24)/historicalFS!K6,0)</f>
        <v>0.19238700462974104</v>
      </c>
      <c r="L13" s="59">
        <f>IFERROR((historicalFS!L18-historicalFS!L24)/historicalFS!L6,0)</f>
        <v>0.1635273539789904</v>
      </c>
      <c r="M13" s="59">
        <f>IFERROR((historicalFS!M18-historicalFS!M24)/historicalFS!M6,0)</f>
        <v>0.19807864220691737</v>
      </c>
      <c r="O13" s="59">
        <f t="shared" si="2"/>
        <v>0.18100165945323657</v>
      </c>
      <c r="P13" s="59">
        <f t="shared" si="3"/>
        <v>0.18635502395352455</v>
      </c>
    </row>
    <row r="14" spans="2:18" x14ac:dyDescent="0.25">
      <c r="B14" t="s">
        <v>126</v>
      </c>
      <c r="D14" s="59">
        <f>IFERROR(historicalFS!D28,0)</f>
        <v>0.17545815311900825</v>
      </c>
      <c r="E14" s="59">
        <f>IFERROR(historicalFS!E28,0)</f>
        <v>0.18269258172076716</v>
      </c>
      <c r="F14" s="59">
        <f>IFERROR(historicalFS!F28,0)</f>
        <v>0.19660067725970304</v>
      </c>
      <c r="G14" s="59">
        <f>IFERROR(historicalFS!G28,0)</f>
        <v>0.18807912928371828</v>
      </c>
      <c r="H14" s="59">
        <f>IFERROR(historicalFS!H28,0)</f>
        <v>0.19387490573152338</v>
      </c>
      <c r="I14" s="59">
        <f>IFERROR(historicalFS!I28,0)</f>
        <v>0.15387564700619857</v>
      </c>
      <c r="J14" s="59">
        <f>IFERROR(historicalFS!J28,0)</f>
        <v>0.15893936642191833</v>
      </c>
      <c r="K14" s="59">
        <f>IFERROR(historicalFS!K28,0)</f>
        <v>0.19186545667541258</v>
      </c>
      <c r="L14" s="59">
        <f>IFERROR(historicalFS!L28,0)</f>
        <v>0.16299149706289751</v>
      </c>
      <c r="M14" s="59">
        <f>IFERROR(historicalFS!M28,0)</f>
        <v>0.19742392002316711</v>
      </c>
      <c r="O14" s="59">
        <f t="shared" si="2"/>
        <v>0.18018013343043143</v>
      </c>
      <c r="P14" s="59">
        <f t="shared" si="3"/>
        <v>0.18538585550224274</v>
      </c>
    </row>
    <row r="15" spans="2:18" x14ac:dyDescent="0.25">
      <c r="B15" s="60" t="s">
        <v>127</v>
      </c>
      <c r="C15" s="60"/>
      <c r="D15" s="61">
        <f>IFERROR(historicalFS!D34,0)</f>
        <v>0.13645754373448662</v>
      </c>
      <c r="E15" s="61">
        <f>IFERROR(historicalFS!E34,0)</f>
        <v>0.13947390920231409</v>
      </c>
      <c r="F15" s="61">
        <f>IFERROR(historicalFS!F34,0)</f>
        <v>0.15371190414170355</v>
      </c>
      <c r="G15" s="61">
        <f>IFERROR(historicalFS!G34,0)</f>
        <v>0.15233857920282404</v>
      </c>
      <c r="H15" s="61">
        <f>IFERROR(historicalFS!H34,0)</f>
        <v>0.16570041478129713</v>
      </c>
      <c r="I15" s="61">
        <f>IFERROR(historicalFS!I34,0)</f>
        <v>0.1352695592902636</v>
      </c>
      <c r="J15" s="61">
        <f>IFERROR(historicalFS!J34,0)</f>
        <v>0.13686013024414287</v>
      </c>
      <c r="K15" s="61">
        <f>IFERROR(historicalFS!K34,0)</f>
        <v>0.16754527437434302</v>
      </c>
      <c r="L15" s="61">
        <f>IFERROR(historicalFS!L34,0)</f>
        <v>0.13112317631714643</v>
      </c>
      <c r="M15" s="61">
        <f>IFERROR(historicalFS!M34,0)</f>
        <v>0.16247182805988192</v>
      </c>
      <c r="N15" s="60"/>
      <c r="O15" s="61">
        <f t="shared" si="2"/>
        <v>0.14809523193484037</v>
      </c>
      <c r="P15" s="61">
        <f t="shared" si="3"/>
        <v>0.14590624420256906</v>
      </c>
    </row>
    <row r="16" spans="2:18" x14ac:dyDescent="0.25">
      <c r="O16" s="14"/>
      <c r="P16" s="14"/>
    </row>
    <row r="17" spans="2:19" x14ac:dyDescent="0.25">
      <c r="B17" s="57" t="s">
        <v>128</v>
      </c>
      <c r="C17" s="57"/>
      <c r="D17" s="58">
        <f>IFERROR(historicalFS!D16,0)</f>
        <v>0.17926309061993731</v>
      </c>
      <c r="E17" s="58">
        <f>IFERROR(historicalFS!E16,0)</f>
        <v>0.16778762575166009</v>
      </c>
      <c r="F17" s="58">
        <f>IFERROR(historicalFS!F16,0)</f>
        <v>0.15876530346444387</v>
      </c>
      <c r="G17" s="58">
        <f>IFERROR(historicalFS!G16,0)</f>
        <v>0.14880864833063687</v>
      </c>
      <c r="H17" s="58">
        <f>IFERROR(historicalFS!H16,0)</f>
        <v>0.16136406485671193</v>
      </c>
      <c r="I17" s="58">
        <f>IFERROR(historicalFS!I16,0)</f>
        <v>0.15679383134172575</v>
      </c>
      <c r="J17" s="58">
        <f>IFERROR(historicalFS!J16,0)</f>
        <v>0.17217998944901367</v>
      </c>
      <c r="K17" s="58">
        <f>IFERROR(historicalFS!K16,0)</f>
        <v>0.16600470195540362</v>
      </c>
      <c r="L17" s="58">
        <f>IFERROR(historicalFS!L16,0)</f>
        <v>0.18578058175862172</v>
      </c>
      <c r="M17" s="58">
        <f>IFERROR(historicalFS!M16,0)</f>
        <v>0.19019679437946188</v>
      </c>
      <c r="N17" s="57"/>
      <c r="O17" s="58">
        <f t="shared" ref="O17:O19" si="4">IFERROR(AVERAGE(D17:M17),0)</f>
        <v>0.16869446319076167</v>
      </c>
      <c r="P17" s="58">
        <f t="shared" ref="P17:P19" si="5">IFERROR(MEDIAN(D17:M17),0)</f>
        <v>0.16689616385353184</v>
      </c>
    </row>
    <row r="18" spans="2:19" x14ac:dyDescent="0.25">
      <c r="B18" t="s">
        <v>129</v>
      </c>
      <c r="D18" s="59">
        <f>IFERROR(historicalFS!D25,0)</f>
        <v>3.5403754403174746E-2</v>
      </c>
      <c r="E18" s="59">
        <f>IFERROR(historicalFS!E25,0)</f>
        <v>3.3415030351392178E-2</v>
      </c>
      <c r="F18" s="59">
        <f>IFERROR(historicalFS!F25,0)</f>
        <v>2.931753060692889E-2</v>
      </c>
      <c r="G18" s="59">
        <f>IFERROR(historicalFS!G25,0)</f>
        <v>2.5898416433789283E-2</v>
      </c>
      <c r="H18" s="59">
        <f>IFERROR(historicalFS!H25,0)</f>
        <v>2.601809954751131E-2</v>
      </c>
      <c r="I18" s="59">
        <f>IFERROR(historicalFS!I25,0)</f>
        <v>2.1577523590431764E-2</v>
      </c>
      <c r="J18" s="59">
        <f>IFERROR(historicalFS!J25,0)</f>
        <v>1.6016743204559411E-2</v>
      </c>
      <c r="K18" s="59">
        <f>IFERROR(historicalFS!K25,0)</f>
        <v>1.6673486909146346E-2</v>
      </c>
      <c r="L18" s="59">
        <f>IFERROR(historicalFS!L25,0)</f>
        <v>2.0443446874336496E-2</v>
      </c>
      <c r="M18" s="59">
        <f>IFERROR(historicalFS!M25,0)</f>
        <v>2.7447968472608691E-2</v>
      </c>
      <c r="O18" s="59">
        <f t="shared" si="4"/>
        <v>2.5221200039387916E-2</v>
      </c>
      <c r="P18" s="59">
        <f t="shared" si="5"/>
        <v>2.5958257990650296E-2</v>
      </c>
    </row>
    <row r="19" spans="2:19" x14ac:dyDescent="0.25">
      <c r="B19" s="60" t="s">
        <v>130</v>
      </c>
      <c r="C19" s="60"/>
      <c r="D19" s="70">
        <f>D13</f>
        <v>0.17679582645917857</v>
      </c>
      <c r="E19" s="70">
        <f t="shared" ref="E19:M19" si="6">E13</f>
        <v>0.18393228647154378</v>
      </c>
      <c r="F19" s="70">
        <f t="shared" si="6"/>
        <v>0.19747330033862986</v>
      </c>
      <c r="G19" s="70">
        <f t="shared" si="6"/>
        <v>0.18877776143550531</v>
      </c>
      <c r="H19" s="70">
        <f t="shared" si="6"/>
        <v>0.19471153846153846</v>
      </c>
      <c r="I19" s="70">
        <f t="shared" si="6"/>
        <v>0.15458921762838959</v>
      </c>
      <c r="J19" s="70">
        <f t="shared" si="6"/>
        <v>0.15974366292193129</v>
      </c>
      <c r="K19" s="70">
        <f t="shared" si="6"/>
        <v>0.19238700462974104</v>
      </c>
      <c r="L19" s="70">
        <f t="shared" si="6"/>
        <v>0.1635273539789904</v>
      </c>
      <c r="M19" s="70">
        <f t="shared" si="6"/>
        <v>0.19807864220691737</v>
      </c>
      <c r="N19" s="60"/>
      <c r="O19" s="61">
        <f t="shared" si="4"/>
        <v>0.18100165945323657</v>
      </c>
      <c r="P19" s="61">
        <f t="shared" si="5"/>
        <v>0.18635502395352455</v>
      </c>
      <c r="S19" t="s">
        <v>145</v>
      </c>
    </row>
    <row r="20" spans="2:19" x14ac:dyDescent="0.25">
      <c r="O20" s="14"/>
      <c r="P20" s="14"/>
    </row>
    <row r="21" spans="2:19" x14ac:dyDescent="0.25">
      <c r="B21" s="57" t="s">
        <v>131</v>
      </c>
      <c r="C21" s="57"/>
      <c r="D21" s="68">
        <f>IFERROR((historicalFS!D18-historicalFS!D24)/SUM(historicalFS!D47:D49,),0)</f>
        <v>0.32449463949586693</v>
      </c>
      <c r="E21" s="68">
        <f>IFERROR((historicalFS!E18-historicalFS!E24)/SUM(historicalFS!E47:E49,),0)</f>
        <v>0.30550756195119638</v>
      </c>
      <c r="F21" s="68">
        <f>IFERROR((historicalFS!F18-historicalFS!F24)/SUM(historicalFS!F47:F49,),0)</f>
        <v>0.3195700284539994</v>
      </c>
      <c r="G21" s="68">
        <f>IFERROR((historicalFS!G18-historicalFS!G24)/SUM(historicalFS!G47:G49,),0)</f>
        <v>0.29785341326629289</v>
      </c>
      <c r="H21" s="68">
        <f>IFERROR((historicalFS!H18-historicalFS!H24)/SUM(historicalFS!H47:H49,),0)</f>
        <v>0.28948843728100909</v>
      </c>
      <c r="I21" s="68">
        <f>IFERROR((historicalFS!I18-historicalFS!I24)/SUM(historicalFS!I47:I49,),0)</f>
        <v>0.23914655243430283</v>
      </c>
      <c r="J21" s="68">
        <f>IFERROR((historicalFS!J18-historicalFS!J24)/SUM(historicalFS!J47:J49,),0)</f>
        <v>0.2752305881301127</v>
      </c>
      <c r="K21" s="68">
        <f>IFERROR((historicalFS!K18-historicalFS!K24)/SUM(historicalFS!K47:K49,),0)</f>
        <v>0.32508982441868345</v>
      </c>
      <c r="L21" s="68">
        <f>IFERROR((historicalFS!L18-historicalFS!L24)/SUM(historicalFS!L47:L49,),0)</f>
        <v>0.19904501710600805</v>
      </c>
      <c r="M21" s="68">
        <f>IFERROR((historicalFS!M18-historicalFS!M24)/SUM(historicalFS!M47:M49,),0)</f>
        <v>0.18216134224146915</v>
      </c>
      <c r="N21" s="57"/>
      <c r="O21" s="58">
        <f t="shared" ref="O21:O25" si="7">IFERROR(AVERAGE(D21:M21),0)</f>
        <v>0.27575874047789412</v>
      </c>
      <c r="P21" s="58">
        <f t="shared" ref="P21:P25" si="8">IFERROR(MEDIAN(D21:M21),0)</f>
        <v>0.29367092527365102</v>
      </c>
    </row>
    <row r="22" spans="2:19" x14ac:dyDescent="0.25">
      <c r="B22" t="s">
        <v>132</v>
      </c>
      <c r="D22" s="69">
        <f>IFERROR(historicalFS!D44,0)</f>
        <v>0.93377627709399846</v>
      </c>
      <c r="E22" s="69">
        <f>IFERROR(historicalFS!E44,0)</f>
        <v>0.92235390273804652</v>
      </c>
      <c r="F22" s="69">
        <f>IFERROR(historicalFS!F44,0)</f>
        <v>0.9226402304694119</v>
      </c>
      <c r="G22" s="69">
        <f>IFERROR(historicalFS!G44,0)</f>
        <v>0.91841660632391986</v>
      </c>
      <c r="H22" s="69">
        <f>IFERROR(historicalFS!H44,0)</f>
        <v>0.90982790499217747</v>
      </c>
      <c r="I22" s="69">
        <f>IFERROR(historicalFS!I44,0)</f>
        <v>0.92016376663254873</v>
      </c>
      <c r="J22" s="69">
        <f>IFERROR(historicalFS!J44,0)</f>
        <v>0.9038862559241706</v>
      </c>
      <c r="K22" s="69">
        <f>IFERROR(historicalFS!K44,0)</f>
        <v>0.91987931612470664</v>
      </c>
      <c r="L22" s="69">
        <f>IFERROR(historicalFS!L44,0)</f>
        <v>0.86321227542601586</v>
      </c>
      <c r="M22" s="69">
        <f>IFERROR(historicalFS!M44,0)</f>
        <v>0.83106013639181653</v>
      </c>
      <c r="O22" s="59">
        <f t="shared" si="7"/>
        <v>0.90452166721168115</v>
      </c>
      <c r="P22" s="59">
        <f t="shared" si="8"/>
        <v>0.91914796122431319</v>
      </c>
    </row>
    <row r="23" spans="2:19" x14ac:dyDescent="0.25">
      <c r="B23" t="s">
        <v>133</v>
      </c>
      <c r="D23" s="69">
        <f>IFERROR(historicalFS!D33/SUM(historicalFS!D47:D48),0)</f>
        <v>0.25045693864746144</v>
      </c>
      <c r="E23" s="69">
        <f>IFERROR(historicalFS!E33/SUM(historicalFS!E47:E48),0)</f>
        <v>0.23166315590163541</v>
      </c>
      <c r="F23" s="69">
        <f>IFERROR(historicalFS!F33/SUM(historicalFS!F47:F48),0)</f>
        <v>0.24875118558330694</v>
      </c>
      <c r="G23" s="69">
        <f>IFERROR(historicalFS!G33/SUM(historicalFS!G47:G48),0)</f>
        <v>0.24035969831754025</v>
      </c>
      <c r="H23" s="69">
        <f>IFERROR(historicalFS!H33/SUM(historicalFS!H47:H48),0)</f>
        <v>0.24687066589420831</v>
      </c>
      <c r="I23" s="69">
        <f>IFERROR(historicalFS!I33/SUM(historicalFS!I47:I48),0)</f>
        <v>0.20975706429291027</v>
      </c>
      <c r="J23" s="69">
        <f>IFERROR(historicalFS!J33/SUM(historicalFS!J47:J48),0)</f>
        <v>0.23623634083716477</v>
      </c>
      <c r="K23" s="69">
        <f>IFERROR(historicalFS!K33/SUM(historicalFS!K47:K48),0)</f>
        <v>0.28342427450661012</v>
      </c>
      <c r="L23" s="69">
        <f>IFERROR(historicalFS!L33/SUM(historicalFS!L47:L48),0)</f>
        <v>0.15969511519375457</v>
      </c>
      <c r="M23" s="69">
        <f>IFERROR(historicalFS!M33/SUM(historicalFS!M47:M48),0)</f>
        <v>0.14943314071311944</v>
      </c>
      <c r="O23" s="59">
        <f t="shared" si="7"/>
        <v>0.22566475798877117</v>
      </c>
      <c r="P23" s="59">
        <f t="shared" si="8"/>
        <v>0.23829801957735253</v>
      </c>
    </row>
    <row r="24" spans="2:19" x14ac:dyDescent="0.25">
      <c r="B24" t="s">
        <v>134</v>
      </c>
      <c r="D24" s="69">
        <f>IFERROR(D21*D23,0)</f>
        <v>8.127193401564646E-2</v>
      </c>
      <c r="E24" s="69">
        <f t="shared" ref="E24:M24" si="9">IFERROR(E21*E23,0)</f>
        <v>7.0774845953428547E-2</v>
      </c>
      <c r="F24" s="69">
        <f t="shared" si="9"/>
        <v>7.9493423454823492E-2</v>
      </c>
      <c r="G24" s="69">
        <f t="shared" si="9"/>
        <v>7.1591956555535796E-2</v>
      </c>
      <c r="H24" s="69">
        <f t="shared" si="9"/>
        <v>7.1466203280236479E-2</v>
      </c>
      <c r="I24" s="69">
        <f t="shared" si="9"/>
        <v>5.0162678774389895E-2</v>
      </c>
      <c r="J24" s="69">
        <f t="shared" si="9"/>
        <v>6.5019467026318625E-2</v>
      </c>
      <c r="K24" s="69">
        <f t="shared" si="9"/>
        <v>9.2138347635346618E-2</v>
      </c>
      <c r="L24" s="69">
        <f t="shared" si="9"/>
        <v>3.1786516935486807E-2</v>
      </c>
      <c r="M24" s="69">
        <f t="shared" si="9"/>
        <v>2.7220941487660168E-2</v>
      </c>
      <c r="O24" s="59">
        <f t="shared" si="7"/>
        <v>6.4092631511887294E-2</v>
      </c>
      <c r="P24" s="59">
        <f t="shared" si="8"/>
        <v>7.112052461683252E-2</v>
      </c>
    </row>
    <row r="25" spans="2:19" x14ac:dyDescent="0.25">
      <c r="B25" s="60" t="s">
        <v>135</v>
      </c>
      <c r="C25" s="60"/>
      <c r="D25" s="67">
        <f>IFERROR((historicalFS!D18-historicalFS!D24)/historicalFS!D21,0)</f>
        <v>132.1666666666666</v>
      </c>
      <c r="E25" s="67">
        <f>IFERROR((historicalFS!E18-historicalFS!E24)/historicalFS!E21,0)</f>
        <v>148.36781609195401</v>
      </c>
      <c r="F25" s="67">
        <f>IFERROR((historicalFS!F18-historicalFS!F24)/historicalFS!F21,0)</f>
        <v>226.29850746268656</v>
      </c>
      <c r="G25" s="67">
        <f>IFERROR((historicalFS!G18-historicalFS!G24)/historicalFS!G21,0)</f>
        <v>270.21052631578959</v>
      </c>
      <c r="H25" s="67">
        <f>IFERROR((historicalFS!H18-historicalFS!H24)/historicalFS!H21,0)</f>
        <v>232.73239436619721</v>
      </c>
      <c r="I25" s="67">
        <f>IFERROR((historicalFS!I18-historicalFS!I24)/historicalFS!I21,0)</f>
        <v>216.64179104477628</v>
      </c>
      <c r="J25" s="67">
        <f>IFERROR((historicalFS!J18-historicalFS!J24)/historicalFS!J21,0)</f>
        <v>198.61290322580635</v>
      </c>
      <c r="K25" s="67">
        <f>IFERROR((historicalFS!K18-historicalFS!K24)/historicalFS!K21,0)</f>
        <v>368.87692307692299</v>
      </c>
      <c r="L25" s="67">
        <f>IFERROR((historicalFS!L18-historicalFS!L24)/historicalFS!L21,0)</f>
        <v>305.16981132075477</v>
      </c>
      <c r="M25" s="67">
        <f>IFERROR((historicalFS!M18-historicalFS!M24)/historicalFS!M21,0)</f>
        <v>302.53846153846149</v>
      </c>
      <c r="N25" s="60"/>
      <c r="O25" s="67">
        <f t="shared" si="7"/>
        <v>240.1615801110016</v>
      </c>
      <c r="P25" s="67">
        <f t="shared" si="8"/>
        <v>229.51545091444189</v>
      </c>
    </row>
    <row r="26" spans="2:19" x14ac:dyDescent="0.25">
      <c r="O26" s="66"/>
      <c r="P26" s="66"/>
    </row>
    <row r="27" spans="2:19" x14ac:dyDescent="0.25">
      <c r="B27" s="57" t="s">
        <v>136</v>
      </c>
      <c r="C27" s="57"/>
      <c r="D27" s="65">
        <f>IFERROR(historicalFS!G6/historicalFS!G59,0)</f>
        <v>12.810174281676872</v>
      </c>
      <c r="E27" s="65">
        <f>IFERROR(historicalFS!H6/historicalFS!H59,0)</f>
        <v>17.133858267716533</v>
      </c>
      <c r="F27" s="65">
        <f>IFERROR(historicalFS!I6/historicalFS!I59,0)</f>
        <v>11.408748481166466</v>
      </c>
      <c r="G27" s="65">
        <f>IFERROR(historicalFS!J6/historicalFS!J59,0)</f>
        <v>13.273906554930548</v>
      </c>
      <c r="H27" s="65">
        <f>IFERROR(historicalFS!K6/historicalFS!K59,0)</f>
        <v>17.593026538678711</v>
      </c>
      <c r="I27" s="65">
        <f>IFERROR(historicalFS!L6/historicalFS!L59,0)</f>
        <v>19.492905005912494</v>
      </c>
      <c r="J27" s="65">
        <f>IFERROR(historicalFS!M6/historicalFS!M59,0)</f>
        <v>6.7279119017365527</v>
      </c>
      <c r="K27" s="65">
        <f>IFERROR(historicalFS!N6/historicalFS!N59,0)</f>
        <v>0</v>
      </c>
      <c r="L27" s="65">
        <f>IFERROR(historicalFS!O6/historicalFS!O59,0)</f>
        <v>0</v>
      </c>
      <c r="M27" s="65">
        <f>IFERROR(historicalFS!P6/historicalFS!P59,0)</f>
        <v>0</v>
      </c>
      <c r="N27" s="57"/>
      <c r="O27" s="65">
        <f t="shared" ref="O27:O32" si="10">IFERROR(AVERAGE(D27:M27),0)</f>
        <v>9.8440531031818175</v>
      </c>
      <c r="P27" s="65">
        <f t="shared" ref="P27:P32" si="11">IFERROR(MEDIAN(D27:M27),0)</f>
        <v>12.109461381421669</v>
      </c>
    </row>
    <row r="28" spans="2:19" x14ac:dyDescent="0.25">
      <c r="B28" t="s">
        <v>137</v>
      </c>
      <c r="D28" s="66">
        <f>IFERROR(historicalFS!G6/historicalFS!G50,0)</f>
        <v>5.7749150622876559</v>
      </c>
      <c r="E28" s="66">
        <f>IFERROR(historicalFS!H6/historicalFS!H50,0)</f>
        <v>5.7325047284517696</v>
      </c>
      <c r="F28" s="66">
        <f>IFERROR(historicalFS!I6/historicalFS!I50,0)</f>
        <v>5.0237560192616373</v>
      </c>
      <c r="G28" s="66">
        <f>IFERROR(historicalFS!J6/historicalFS!J50,0)</f>
        <v>5.9734979593945345</v>
      </c>
      <c r="H28" s="66">
        <f>IFERROR(historicalFS!K6/historicalFS!K50,0)</f>
        <v>6.354731796859066</v>
      </c>
      <c r="I28" s="66">
        <f>IFERROR(historicalFS!L6/historicalFS!L50,0)</f>
        <v>5.3712935809710007</v>
      </c>
      <c r="J28" s="66">
        <f>IFERROR(historicalFS!M6/historicalFS!M50,0)</f>
        <v>4.0950244908481572</v>
      </c>
      <c r="K28" s="66">
        <f>IFERROR(historicalFS!N6/historicalFS!N50,0)</f>
        <v>0</v>
      </c>
      <c r="L28" s="66">
        <f>IFERROR(historicalFS!O6/historicalFS!O50,0)</f>
        <v>0</v>
      </c>
      <c r="M28" s="66">
        <f>IFERROR(historicalFS!P6/historicalFS!P50,0)</f>
        <v>0</v>
      </c>
      <c r="O28" s="66">
        <f t="shared" si="10"/>
        <v>3.8325723638073823</v>
      </c>
      <c r="P28" s="66">
        <f t="shared" si="11"/>
        <v>5.1975248001163195</v>
      </c>
    </row>
    <row r="29" spans="2:19" x14ac:dyDescent="0.25">
      <c r="B29" t="s">
        <v>138</v>
      </c>
      <c r="D29" s="66">
        <f>IFERROR(historicalFS!G6/historicalFS!G60,0)</f>
        <v>7.1206144178739743</v>
      </c>
      <c r="E29" s="66">
        <f>IFERROR(historicalFS!H6/historicalFS!H60,0)</f>
        <v>3.9547043198657903</v>
      </c>
      <c r="F29" s="66">
        <f>IFERROR(historicalFS!I6/historicalFS!I60,0)</f>
        <v>5.7473220297484238</v>
      </c>
      <c r="G29" s="66">
        <f>IFERROR(historicalFS!J6/historicalFS!J60,0)</f>
        <v>6.4374234495045091</v>
      </c>
      <c r="H29" s="66">
        <f>IFERROR(historicalFS!K6/historicalFS!K60,0)</f>
        <v>7.3104763022055375</v>
      </c>
      <c r="I29" s="66">
        <f>IFERROR(historicalFS!L6/historicalFS!L60,0)</f>
        <v>6.787469118858084</v>
      </c>
      <c r="J29" s="66">
        <f>IFERROR(historicalFS!M6/historicalFS!M60,0)</f>
        <v>6.1601644303110215</v>
      </c>
      <c r="K29" s="66">
        <f>IFERROR(historicalFS!N6/historicalFS!N60,0)</f>
        <v>0</v>
      </c>
      <c r="L29" s="66">
        <f>IFERROR(historicalFS!O6/historicalFS!O60,0)</f>
        <v>0</v>
      </c>
      <c r="M29" s="66">
        <f>IFERROR(historicalFS!P6/historicalFS!P60,0)</f>
        <v>0</v>
      </c>
      <c r="O29" s="66">
        <f t="shared" si="10"/>
        <v>4.3518174068367337</v>
      </c>
      <c r="P29" s="66">
        <f t="shared" si="11"/>
        <v>5.9537432300297226</v>
      </c>
    </row>
    <row r="30" spans="2:19" x14ac:dyDescent="0.25">
      <c r="B30" t="s">
        <v>146</v>
      </c>
      <c r="D30" s="66">
        <f>IFERROR(historicalFS!G6/historicalFS!G53,0)</f>
        <v>8.6290851401374944</v>
      </c>
      <c r="E30" s="66">
        <f>IFERROR(historicalFS!H6/historicalFS!H53,0)</f>
        <v>8.6941911689376088</v>
      </c>
      <c r="F30" s="66">
        <f>IFERROR(historicalFS!I6/historicalFS!I53,0)</f>
        <v>10.285244824186657</v>
      </c>
      <c r="G30" s="66">
        <f>IFERROR(historicalFS!J6/historicalFS!J53,0)</f>
        <v>13.342834064158781</v>
      </c>
      <c r="H30" s="66">
        <f>IFERROR(historicalFS!K6/historicalFS!K53,0)</f>
        <v>13.66396228483719</v>
      </c>
      <c r="I30" s="66">
        <f>IFERROR(historicalFS!L6/historicalFS!L53,0)</f>
        <v>10.122505373042678</v>
      </c>
      <c r="J30" s="66">
        <f>IFERROR(historicalFS!M6/historicalFS!M53,0)</f>
        <v>7.4310441616766472</v>
      </c>
      <c r="K30" s="66">
        <f>IFERROR(historicalFS!N6/historicalFS!N53,0)</f>
        <v>0</v>
      </c>
      <c r="L30" s="66">
        <f>IFERROR(historicalFS!O6/historicalFS!O53,0)</f>
        <v>0</v>
      </c>
      <c r="M30" s="66">
        <f>IFERROR(historicalFS!P6/historicalFS!P53,0)</f>
        <v>0</v>
      </c>
      <c r="O30" s="66">
        <f t="shared" si="10"/>
        <v>7.2168867016977059</v>
      </c>
      <c r="P30" s="66">
        <f t="shared" si="11"/>
        <v>8.6616381545375525</v>
      </c>
    </row>
    <row r="31" spans="2:19" x14ac:dyDescent="0.25">
      <c r="B31" t="s">
        <v>147</v>
      </c>
      <c r="D31" s="66">
        <f>IFERROR(historicalFS!G6/SUM(historicalFS!G47:G48),0)</f>
        <v>1.5777992651324695</v>
      </c>
      <c r="E31" s="66">
        <f>IFERROR(historicalFS!H6/SUM(historicalFS!H47:H48),0)</f>
        <v>1.4898614841733817</v>
      </c>
      <c r="F31" s="66">
        <f>IFERROR(historicalFS!I6/SUM(historicalFS!I47:I48),0)</f>
        <v>1.5506597744050472</v>
      </c>
      <c r="G31" s="66">
        <f>IFERROR(historicalFS!J6/SUM(historicalFS!J47:J48),0)</f>
        <v>1.7261151250970324</v>
      </c>
      <c r="H31" s="66">
        <f>IFERROR(historicalFS!K6/SUM(historicalFS!K47:K48),0)</f>
        <v>1.6916279827347502</v>
      </c>
      <c r="I31" s="66">
        <f>IFERROR(historicalFS!L6/SUM(historicalFS!L47:L48),0)</f>
        <v>1.2179015158045092</v>
      </c>
      <c r="J31" s="66">
        <f>IFERROR(historicalFS!M6/SUM(historicalFS!M47:M48),0)</f>
        <v>0.91974801107083715</v>
      </c>
      <c r="K31" s="66">
        <f>IFERROR(historicalFS!N6/SUM(historicalFS!N47:N48),0)</f>
        <v>0</v>
      </c>
      <c r="L31" s="66">
        <f>IFERROR(historicalFS!O6/SUM(historicalFS!O47:O48),0)</f>
        <v>0</v>
      </c>
      <c r="M31" s="66">
        <f>IFERROR(historicalFS!P6/SUM(historicalFS!P47:P48),0)</f>
        <v>0</v>
      </c>
      <c r="O31" s="66">
        <f t="shared" si="10"/>
        <v>1.0173713158418027</v>
      </c>
      <c r="P31" s="66">
        <f t="shared" si="11"/>
        <v>1.3538814999889455</v>
      </c>
    </row>
    <row r="32" spans="2:19" x14ac:dyDescent="0.25">
      <c r="B32" s="60" t="s">
        <v>139</v>
      </c>
      <c r="C32" s="60"/>
      <c r="D32" s="67">
        <f>IFERROR(historicalFS!G6/historicalFS!G61,0)</f>
        <v>13.383858267716535</v>
      </c>
      <c r="E32" s="67">
        <f>IFERROR(historicalFS!H6/historicalFS!H61,0)</f>
        <v>23.918827508455468</v>
      </c>
      <c r="F32" s="67">
        <f>IFERROR(historicalFS!I6/historicalFS!I61,0)</f>
        <v>6.9060017652250663</v>
      </c>
      <c r="G32" s="67">
        <f>IFERROR(historicalFS!J6/historicalFS!J61,0)</f>
        <v>4.1693650164064477</v>
      </c>
      <c r="H32" s="67">
        <f>IFERROR(historicalFS!K6/historicalFS!K61,0)</f>
        <v>2.6603411104232926</v>
      </c>
      <c r="I32" s="67">
        <f>IFERROR(historicalFS!L6/historicalFS!L61,0)</f>
        <v>1.8289016272189351</v>
      </c>
      <c r="J32" s="67">
        <f>IFERROR(historicalFS!M6/historicalFS!M61,0)</f>
        <v>1.4649365500959128</v>
      </c>
      <c r="K32" s="67">
        <f>IFERROR(historicalFS!N6/historicalFS!N61,0)</f>
        <v>0</v>
      </c>
      <c r="L32" s="67">
        <f>IFERROR(historicalFS!O6/historicalFS!O61,0)</f>
        <v>0</v>
      </c>
      <c r="M32" s="67">
        <f>IFERROR(historicalFS!P6/historicalFS!P61,0)</f>
        <v>0</v>
      </c>
      <c r="N32" s="60"/>
      <c r="O32" s="67">
        <f t="shared" si="10"/>
        <v>5.4332231845541648</v>
      </c>
      <c r="P32" s="67">
        <f t="shared" si="11"/>
        <v>2.2446213688211136</v>
      </c>
    </row>
    <row r="33" spans="2:16" x14ac:dyDescent="0.25">
      <c r="D33" s="55"/>
      <c r="E33" s="55"/>
      <c r="F33" s="55"/>
      <c r="G33" s="55"/>
      <c r="H33" s="55"/>
      <c r="I33" s="55"/>
      <c r="J33" s="55"/>
      <c r="K33" s="55"/>
      <c r="L33" s="55"/>
      <c r="M33" s="55"/>
    </row>
    <row r="34" spans="2:16" x14ac:dyDescent="0.25">
      <c r="B34" s="56" t="s">
        <v>152</v>
      </c>
      <c r="D34" s="55"/>
      <c r="E34" s="55"/>
      <c r="F34" s="55"/>
      <c r="G34" s="55"/>
      <c r="H34" s="55"/>
      <c r="I34" s="55"/>
      <c r="J34" s="55"/>
      <c r="K34" s="55"/>
      <c r="L34" s="55"/>
      <c r="M34" s="55"/>
    </row>
    <row r="35" spans="2:16" x14ac:dyDescent="0.25">
      <c r="B35" s="57" t="s">
        <v>148</v>
      </c>
      <c r="C35" s="57"/>
      <c r="D35" s="62">
        <f>IFERROR(365/D27,0)</f>
        <v>28.492976908368878</v>
      </c>
      <c r="E35" s="62">
        <f t="shared" ref="E35:M35" si="12">IFERROR(365/E27,0)</f>
        <v>21.302849264705884</v>
      </c>
      <c r="F35" s="62">
        <f t="shared" si="12"/>
        <v>31.99299209747161</v>
      </c>
      <c r="G35" s="62">
        <f t="shared" si="12"/>
        <v>27.497556841276843</v>
      </c>
      <c r="H35" s="62">
        <f t="shared" si="12"/>
        <v>20.746856670598337</v>
      </c>
      <c r="I35" s="62">
        <f t="shared" si="12"/>
        <v>18.72476164477742</v>
      </c>
      <c r="J35" s="62">
        <f t="shared" si="12"/>
        <v>54.251602180728504</v>
      </c>
      <c r="K35" s="62">
        <f t="shared" si="12"/>
        <v>0</v>
      </c>
      <c r="L35" s="62">
        <f t="shared" si="12"/>
        <v>0</v>
      </c>
      <c r="M35" s="62">
        <f t="shared" si="12"/>
        <v>0</v>
      </c>
      <c r="N35" s="57"/>
      <c r="O35" s="62">
        <f>IFERROR(AVERAGE(D35:M35),0)</f>
        <v>20.300959560792748</v>
      </c>
      <c r="P35" s="62">
        <f>IFERROR(MEDIAN(D35:M35),0)</f>
        <v>21.024852967652109</v>
      </c>
    </row>
    <row r="36" spans="2:16" x14ac:dyDescent="0.25">
      <c r="B36" t="s">
        <v>149</v>
      </c>
      <c r="D36" s="63">
        <f>IFERROR(365/D28,0)</f>
        <v>63.204392802863161</v>
      </c>
      <c r="E36" s="63">
        <f t="shared" ref="E36:M36" si="13">IFERROR(365/E28,0)</f>
        <v>63.67199283559578</v>
      </c>
      <c r="F36" s="63">
        <f t="shared" si="13"/>
        <v>72.654802223784273</v>
      </c>
      <c r="G36" s="63">
        <f t="shared" si="13"/>
        <v>61.103226699184461</v>
      </c>
      <c r="H36" s="63">
        <f t="shared" si="13"/>
        <v>57.437514543164113</v>
      </c>
      <c r="I36" s="63">
        <f t="shared" si="13"/>
        <v>67.953835421153201</v>
      </c>
      <c r="J36" s="63">
        <f t="shared" si="13"/>
        <v>89.132556060586978</v>
      </c>
      <c r="K36" s="63">
        <f t="shared" si="13"/>
        <v>0</v>
      </c>
      <c r="L36" s="63">
        <f t="shared" si="13"/>
        <v>0</v>
      </c>
      <c r="M36" s="63">
        <f t="shared" si="13"/>
        <v>0</v>
      </c>
      <c r="O36" s="63">
        <f t="shared" ref="O36:O38" si="14">IFERROR(AVERAGE(D36:M36),0)</f>
        <v>47.515832058633194</v>
      </c>
      <c r="P36" s="63">
        <f t="shared" ref="P36:P38" si="15">IFERROR(MEDIAN(D36:M36),0)</f>
        <v>62.153809751023815</v>
      </c>
    </row>
    <row r="37" spans="2:16" x14ac:dyDescent="0.25">
      <c r="B37" t="s">
        <v>150</v>
      </c>
      <c r="D37" s="63">
        <f>IFERROR(365/D29,0)</f>
        <v>51.259621512967598</v>
      </c>
      <c r="E37" s="63">
        <f t="shared" ref="E37:M37" si="16">IFERROR(365/E29,0)</f>
        <v>92.295142816742086</v>
      </c>
      <c r="F37" s="63">
        <f t="shared" si="16"/>
        <v>63.507838626536305</v>
      </c>
      <c r="G37" s="63">
        <f t="shared" si="16"/>
        <v>56.699703361613437</v>
      </c>
      <c r="H37" s="63">
        <f t="shared" si="16"/>
        <v>49.928347334889949</v>
      </c>
      <c r="I37" s="63">
        <f t="shared" si="16"/>
        <v>53.775566946727736</v>
      </c>
      <c r="J37" s="63">
        <f t="shared" si="16"/>
        <v>59.251665134784638</v>
      </c>
      <c r="K37" s="63">
        <f t="shared" si="16"/>
        <v>0</v>
      </c>
      <c r="L37" s="63">
        <f t="shared" si="16"/>
        <v>0</v>
      </c>
      <c r="M37" s="63">
        <f t="shared" si="16"/>
        <v>0</v>
      </c>
      <c r="O37" s="63">
        <f t="shared" si="14"/>
        <v>42.671788573426177</v>
      </c>
      <c r="P37" s="63">
        <f t="shared" si="15"/>
        <v>52.517594229847667</v>
      </c>
    </row>
    <row r="38" spans="2:16" x14ac:dyDescent="0.25">
      <c r="B38" s="60" t="s">
        <v>151</v>
      </c>
      <c r="C38" s="60"/>
      <c r="D38" s="64">
        <f>IFERROR(365/D32,0)</f>
        <v>27.271657596705399</v>
      </c>
      <c r="E38" s="64">
        <f t="shared" ref="E38:M38" si="17">IFERROR(365/E32,0)</f>
        <v>15.25994532428356</v>
      </c>
      <c r="F38" s="64">
        <f t="shared" si="17"/>
        <v>52.852578439516904</v>
      </c>
      <c r="G38" s="64">
        <f t="shared" si="17"/>
        <v>87.543306609933481</v>
      </c>
      <c r="H38" s="64">
        <f t="shared" si="17"/>
        <v>137.20045093838513</v>
      </c>
      <c r="I38" s="64">
        <f t="shared" si="17"/>
        <v>199.57333656869582</v>
      </c>
      <c r="J38" s="64">
        <f t="shared" si="17"/>
        <v>249.15754882087049</v>
      </c>
      <c r="K38" s="64">
        <f t="shared" si="17"/>
        <v>0</v>
      </c>
      <c r="L38" s="64">
        <f t="shared" si="17"/>
        <v>0</v>
      </c>
      <c r="M38" s="64">
        <f t="shared" si="17"/>
        <v>0</v>
      </c>
      <c r="N38" s="60"/>
      <c r="O38" s="64">
        <f t="shared" si="14"/>
        <v>76.885882429839086</v>
      </c>
      <c r="P38" s="64">
        <f t="shared" si="15"/>
        <v>40.06211801811115</v>
      </c>
    </row>
    <row r="40" spans="2:16" x14ac:dyDescent="0.25">
      <c r="B40" s="57" t="s">
        <v>140</v>
      </c>
      <c r="C40" s="57"/>
      <c r="D40" s="58">
        <f>IFERROR(historicalFS!G105/historicalFS!G6,0)</f>
        <v>2.5236554395254206E-2</v>
      </c>
      <c r="E40" s="58">
        <f>IFERROR(historicalFS!H105/historicalFS!H6,0)</f>
        <v>-2.0762631975867273E-2</v>
      </c>
      <c r="F40" s="58">
        <f>IFERROR(historicalFS!I105/historicalFS!I6,0)</f>
        <v>0.16136281338530681</v>
      </c>
      <c r="G40" s="58">
        <f>IFERROR(historicalFS!J105/historicalFS!J6,0)</f>
        <v>3.1912409516643751E-2</v>
      </c>
      <c r="H40" s="58">
        <f>IFERROR(historicalFS!K105/historicalFS!K6,0)</f>
        <v>0.12623867639153008</v>
      </c>
      <c r="I40" s="58">
        <f>IFERROR(historicalFS!L105/historicalFS!L6,0)</f>
        <v>0.10680740493594992</v>
      </c>
      <c r="J40" s="58">
        <f>IFERROR(historicalFS!M105/historicalFS!M6,0)</f>
        <v>2.7813101998161741E-2</v>
      </c>
      <c r="K40" s="58">
        <f>IFERROR(historicalFS!N105/historicalFS!N6,0)</f>
        <v>0</v>
      </c>
      <c r="L40" s="58">
        <f>IFERROR(historicalFS!O105/historicalFS!O6,0)</f>
        <v>0</v>
      </c>
      <c r="M40" s="58">
        <f>IFERROR(historicalFS!P105/historicalFS!P6,0)</f>
        <v>0</v>
      </c>
      <c r="N40" s="57"/>
      <c r="O40" s="58">
        <f>IFERROR(AVERAGE(D40:M40),0)</f>
        <v>4.5860832864697922E-2</v>
      </c>
      <c r="P40" s="58">
        <f t="shared" ref="P40:P42" si="18">IFERROR(MEDIAN(D40:M40),0)</f>
        <v>2.6524828196707973E-2</v>
      </c>
    </row>
    <row r="41" spans="2:16" x14ac:dyDescent="0.25">
      <c r="B41" t="s">
        <v>141</v>
      </c>
      <c r="D41" s="59">
        <f>IFERROR(historicalFS!G105/historicalFS!G64,0)</f>
        <v>3.1273732494911756E-2</v>
      </c>
      <c r="E41" s="59">
        <f>IFERROR(historicalFS!H105/historicalFS!H64,0)</f>
        <v>-2.4511713315897837E-2</v>
      </c>
      <c r="F41" s="59">
        <f>IFERROR(historicalFS!I105/historicalFS!I64,0)</f>
        <v>0.19085469547143666</v>
      </c>
      <c r="G41" s="59">
        <f>IFERROR(historicalFS!J105/historicalFS!J64,0)</f>
        <v>4.2674746727112918E-2</v>
      </c>
      <c r="H41" s="59">
        <f>IFERROR(historicalFS!K105/historicalFS!K64,0)</f>
        <v>0.16850707423393704</v>
      </c>
      <c r="I41" s="59">
        <f>IFERROR(historicalFS!L105/historicalFS!L64,0)</f>
        <v>0.10598763945742033</v>
      </c>
      <c r="J41" s="59">
        <f>IFERROR(historicalFS!M105/historicalFS!M64,0)</f>
        <v>2.0887308761512131E-2</v>
      </c>
      <c r="K41" s="59">
        <f>IFERROR(historicalFS!N105/historicalFS!N64,0)</f>
        <v>0</v>
      </c>
      <c r="L41" s="59">
        <f>IFERROR(historicalFS!O105/historicalFS!O64,0)</f>
        <v>0</v>
      </c>
      <c r="M41" s="59">
        <f>IFERROR(historicalFS!P105/historicalFS!P64,0)</f>
        <v>0</v>
      </c>
      <c r="O41" s="59">
        <f t="shared" ref="O41:O42" si="19">IFERROR(AVERAGE(D41:M41),0)</f>
        <v>5.3567348383043299E-2</v>
      </c>
      <c r="P41" s="59">
        <f t="shared" si="18"/>
        <v>2.6080520628211944E-2</v>
      </c>
    </row>
    <row r="42" spans="2:16" x14ac:dyDescent="0.25">
      <c r="B42" s="60" t="s">
        <v>142</v>
      </c>
      <c r="C42" s="60"/>
      <c r="D42" s="61">
        <f>IFERROR(historicalFS!G105/historicalFS!G49,0)</f>
        <v>0</v>
      </c>
      <c r="E42" s="61">
        <f>IFERROR(historicalFS!H105/historicalFS!H49,0)</f>
        <v>-14.806722689075631</v>
      </c>
      <c r="F42" s="61">
        <f>IFERROR(historicalFS!I105/historicalFS!I49,0)</f>
        <v>105.21527777777777</v>
      </c>
      <c r="G42" s="61">
        <f>IFERROR(historicalFS!J105/historicalFS!J49,0)</f>
        <v>30</v>
      </c>
      <c r="H42" s="61">
        <f>IFERROR(historicalFS!K105/historicalFS!K49,0)</f>
        <v>194.23456790123458</v>
      </c>
      <c r="I42" s="61">
        <f>IFERROR(historicalFS!L105/historicalFS!L49,0)</f>
        <v>224.76595744680853</v>
      </c>
      <c r="J42" s="61">
        <f>IFERROR(historicalFS!M105/historicalFS!M49,0)</f>
        <v>220.89999999999998</v>
      </c>
      <c r="K42" s="61">
        <f>IFERROR(historicalFS!N105/historicalFS!N49,0)</f>
        <v>0</v>
      </c>
      <c r="L42" s="61">
        <f>IFERROR(historicalFS!O105/historicalFS!O49,0)</f>
        <v>0</v>
      </c>
      <c r="M42" s="61">
        <f>IFERROR(historicalFS!P105/historicalFS!P49,0)</f>
        <v>0</v>
      </c>
      <c r="N42" s="60"/>
      <c r="O42" s="61">
        <f t="shared" si="19"/>
        <v>76.030908043674529</v>
      </c>
      <c r="P42" s="61">
        <f t="shared" si="18"/>
        <v>15</v>
      </c>
    </row>
  </sheetData>
  <mergeCells count="1">
    <mergeCell ref="B2:M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B60FE2EB-4BF2-4872-BADE-4B0F73A822C8}">
          <x14:colorSeries rgb="FF00206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Analysis'!D11:M11</xm:f>
              <xm:sqref>N11</xm:sqref>
            </x14:sparkline>
            <x14:sparkline>
              <xm:f>'Ratio Analysis'!D12:M12</xm:f>
              <xm:sqref>N12</xm:sqref>
            </x14:sparkline>
            <x14:sparkline>
              <xm:f>'Ratio Analysis'!D13:M13</xm:f>
              <xm:sqref>N13</xm:sqref>
            </x14:sparkline>
            <x14:sparkline>
              <xm:f>'Ratio Analysis'!D14:M14</xm:f>
              <xm:sqref>N14</xm:sqref>
            </x14:sparkline>
            <x14:sparkline>
              <xm:f>'Ratio Analysis'!D15:M15</xm:f>
              <xm:sqref>N15</xm:sqref>
            </x14:sparkline>
            <x14:sparkline>
              <xm:f>'Ratio Analysis'!D16:M16</xm:f>
              <xm:sqref>N16</xm:sqref>
            </x14:sparkline>
            <x14:sparkline>
              <xm:f>'Ratio Analysis'!D17:M17</xm:f>
              <xm:sqref>N17</xm:sqref>
            </x14:sparkline>
            <x14:sparkline>
              <xm:f>'Ratio Analysis'!D18:M18</xm:f>
              <xm:sqref>N18</xm:sqref>
            </x14:sparkline>
            <x14:sparkline>
              <xm:f>'Ratio Analysis'!D19:M19</xm:f>
              <xm:sqref>N19</xm:sqref>
            </x14:sparkline>
            <x14:sparkline>
              <xm:f>'Ratio Analysis'!D20:M20</xm:f>
              <xm:sqref>N20</xm:sqref>
            </x14:sparkline>
            <x14:sparkline>
              <xm:f>'Ratio Analysis'!D21:M21</xm:f>
              <xm:sqref>N21</xm:sqref>
            </x14:sparkline>
            <x14:sparkline>
              <xm:f>'Ratio Analysis'!D22:M22</xm:f>
              <xm:sqref>N22</xm:sqref>
            </x14:sparkline>
            <x14:sparkline>
              <xm:f>'Ratio Analysis'!D23:M23</xm:f>
              <xm:sqref>N23</xm:sqref>
            </x14:sparkline>
            <x14:sparkline>
              <xm:f>'Ratio Analysis'!D24:M24</xm:f>
              <xm:sqref>N24</xm:sqref>
            </x14:sparkline>
            <x14:sparkline>
              <xm:f>'Ratio Analysis'!D25:M25</xm:f>
              <xm:sqref>N25</xm:sqref>
            </x14:sparkline>
            <x14:sparkline>
              <xm:f>'Ratio Analysis'!D26:M26</xm:f>
              <xm:sqref>N26</xm:sqref>
            </x14:sparkline>
            <x14:sparkline>
              <xm:f>'Ratio Analysis'!D27:M27</xm:f>
              <xm:sqref>N27</xm:sqref>
            </x14:sparkline>
            <x14:sparkline>
              <xm:f>'Ratio Analysis'!D28:M28</xm:f>
              <xm:sqref>N28</xm:sqref>
            </x14:sparkline>
            <x14:sparkline>
              <xm:f>'Ratio Analysis'!D29:M29</xm:f>
              <xm:sqref>N29</xm:sqref>
            </x14:sparkline>
            <x14:sparkline>
              <xm:f>'Ratio Analysis'!D30:M30</xm:f>
              <xm:sqref>N30</xm:sqref>
            </x14:sparkline>
            <x14:sparkline>
              <xm:f>'Ratio Analysis'!D31:M31</xm:f>
              <xm:sqref>N31</xm:sqref>
            </x14:sparkline>
            <x14:sparkline>
              <xm:f>'Ratio Analysis'!D32:M32</xm:f>
              <xm:sqref>N32</xm:sqref>
            </x14:sparkline>
            <x14:sparkline>
              <xm:f>'Ratio Analysis'!D33:M33</xm:f>
              <xm:sqref>N33</xm:sqref>
            </x14:sparkline>
            <x14:sparkline>
              <xm:f>'Ratio Analysis'!D34:M34</xm:f>
              <xm:sqref>N34</xm:sqref>
            </x14:sparkline>
            <x14:sparkline>
              <xm:f>'Ratio Analysis'!D35:M35</xm:f>
              <xm:sqref>N35</xm:sqref>
            </x14:sparkline>
            <x14:sparkline>
              <xm:f>'Ratio Analysis'!D36:M36</xm:f>
              <xm:sqref>N36</xm:sqref>
            </x14:sparkline>
            <x14:sparkline>
              <xm:f>'Ratio Analysis'!D37:M37</xm:f>
              <xm:sqref>N37</xm:sqref>
            </x14:sparkline>
            <x14:sparkline>
              <xm:f>'Ratio Analysis'!D38:M38</xm:f>
              <xm:sqref>N38</xm:sqref>
            </x14:sparkline>
            <x14:sparkline>
              <xm:f>'Ratio Analysis'!D39:M39</xm:f>
              <xm:sqref>N39</xm:sqref>
            </x14:sparkline>
            <x14:sparkline>
              <xm:f>'Ratio Analysis'!D40:M40</xm:f>
              <xm:sqref>N40</xm:sqref>
            </x14:sparkline>
            <x14:sparkline>
              <xm:f>'Ratio Analysis'!D41:M41</xm:f>
              <xm:sqref>N41</xm:sqref>
            </x14:sparkline>
            <x14:sparkline>
              <xm:f>'Ratio Analysis'!D42:M42</xm:f>
              <xm:sqref>N42</xm:sqref>
            </x14:sparkline>
          </x14:sparklines>
        </x14:sparklineGroup>
        <x14:sparklineGroup displayEmptyCellsAs="gap" markers="1" xr2:uid="{912B76B1-1D85-42EB-A04D-6C37AB12C9A3}">
          <x14:colorSeries rgb="FF00206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Analysis'!E5:M5</xm:f>
              <xm:sqref>N5</xm:sqref>
            </x14:sparkline>
            <x14:sparkline>
              <xm:f>'Ratio Analysis'!E6:M6</xm:f>
              <xm:sqref>N6</xm:sqref>
            </x14:sparkline>
            <x14:sparkline>
              <xm:f>'Ratio Analysis'!E7:M7</xm:f>
              <xm:sqref>N7</xm:sqref>
            </x14:sparkline>
            <x14:sparkline>
              <xm:f>'Ratio Analysis'!E8:M8</xm:f>
              <xm:sqref>N8</xm:sqref>
            </x14:sparkline>
            <x14:sparkline>
              <xm:f>'Ratio Analysis'!E9:M9</xm:f>
              <xm:sqref>N9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6CDF-3016-4B50-A5B0-F4055C2C027E}">
  <dimension ref="B3:K19"/>
  <sheetViews>
    <sheetView workbookViewId="0">
      <selection activeCell="M7" sqref="M7"/>
    </sheetView>
  </sheetViews>
  <sheetFormatPr defaultRowHeight="15" x14ac:dyDescent="0.25"/>
  <cols>
    <col min="1" max="1" width="1.85546875" customWidth="1"/>
    <col min="2" max="2" width="10.7109375" bestFit="1" customWidth="1"/>
    <col min="3" max="3" width="11.42578125" customWidth="1"/>
    <col min="4" max="4" width="19" customWidth="1"/>
    <col min="5" max="5" width="19.7109375" customWidth="1"/>
    <col min="6" max="6" width="2.7109375" customWidth="1"/>
    <col min="7" max="7" width="10.7109375" bestFit="1" customWidth="1"/>
    <col min="8" max="8" width="6.140625" bestFit="1" customWidth="1"/>
    <col min="9" max="9" width="7.140625" bestFit="1" customWidth="1"/>
    <col min="10" max="10" width="13.7109375" bestFit="1" customWidth="1"/>
  </cols>
  <sheetData>
    <row r="3" spans="2:11" x14ac:dyDescent="0.25">
      <c r="B3" s="74" t="str">
        <f>'Data Sheet'!B1&amp;" - "&amp;'Data Sheet'!A17</f>
        <v>HONDA INDIA POWER PRODUCTS LTD - Sales</v>
      </c>
      <c r="C3" s="74"/>
      <c r="D3" s="74"/>
      <c r="E3" s="74"/>
      <c r="F3" s="74"/>
      <c r="G3" s="74" t="str">
        <f>'Data Sheet'!B1&amp;" - "&amp;historicalFS!B18</f>
        <v>HONDA INDIA POWER PRODUCTS LTD - EBITDA</v>
      </c>
      <c r="H3" s="74"/>
      <c r="I3" s="74"/>
      <c r="J3" s="74"/>
      <c r="K3" s="74"/>
    </row>
    <row r="4" spans="2:11" x14ac:dyDescent="0.25">
      <c r="B4" s="10" t="s">
        <v>156</v>
      </c>
      <c r="C4" s="10" t="s">
        <v>157</v>
      </c>
      <c r="D4" s="10" t="s">
        <v>158</v>
      </c>
      <c r="E4" s="10" t="s">
        <v>159</v>
      </c>
      <c r="G4" s="10" t="s">
        <v>156</v>
      </c>
      <c r="H4" s="10" t="s">
        <v>157</v>
      </c>
      <c r="I4" s="10" t="s">
        <v>65</v>
      </c>
      <c r="J4" s="10" t="s">
        <v>160</v>
      </c>
    </row>
    <row r="5" spans="2:11" x14ac:dyDescent="0.25">
      <c r="B5">
        <v>1</v>
      </c>
      <c r="C5" s="71">
        <v>2016</v>
      </c>
      <c r="D5" s="72" cm="1">
        <f t="array" ref="D5:D14">TRANSPOSE('Data Sheet'!B17:K17)</f>
        <v>672.81</v>
      </c>
      <c r="G5">
        <v>1</v>
      </c>
      <c r="H5" s="71">
        <v>2016</v>
      </c>
      <c r="I5" s="72" cm="1">
        <f t="array" ref="I5:I14">TRANSPOSE(historicalFS!D18:M18)</f>
        <v>142.76999999999992</v>
      </c>
    </row>
    <row r="6" spans="2:11" x14ac:dyDescent="0.25">
      <c r="B6">
        <f>B5+1</f>
        <v>2</v>
      </c>
      <c r="C6" s="71">
        <f>C5+1</f>
        <v>2017</v>
      </c>
      <c r="D6" s="72">
        <v>701.78</v>
      </c>
      <c r="E6" s="14">
        <f>IFERROR(1-D5/D6,0)</f>
        <v>4.1280743252871344E-2</v>
      </c>
      <c r="G6">
        <f>G5+1</f>
        <v>2</v>
      </c>
      <c r="H6" s="71">
        <f>H5+1</f>
        <v>2017</v>
      </c>
      <c r="I6" s="72">
        <v>152.52999999999997</v>
      </c>
      <c r="J6" s="14">
        <f>IFERROR(1-I5/I6,0)</f>
        <v>6.3987412312332292E-2</v>
      </c>
    </row>
    <row r="7" spans="2:11" x14ac:dyDescent="0.25">
      <c r="B7">
        <f t="shared" ref="B7:B19" si="0">B6+1</f>
        <v>3</v>
      </c>
      <c r="C7" s="71">
        <f t="shared" ref="C7:C19" si="1">C6+1</f>
        <v>2018</v>
      </c>
      <c r="D7" s="72">
        <v>767.8</v>
      </c>
      <c r="E7" s="14">
        <f t="shared" ref="E7:E19" si="2">IFERROR(1-D6/D7,0)</f>
        <v>8.5985933836936645E-2</v>
      </c>
      <c r="G7">
        <f t="shared" ref="G7:G19" si="3">G6+1</f>
        <v>3</v>
      </c>
      <c r="H7" s="71">
        <f t="shared" ref="H7:H19" si="4">H6+1</f>
        <v>2018</v>
      </c>
      <c r="I7" s="72">
        <v>174.13</v>
      </c>
      <c r="J7" s="14">
        <f t="shared" ref="J7:J19" si="5">IFERROR(1-I6/I7,0)</f>
        <v>0.12404525354620122</v>
      </c>
    </row>
    <row r="8" spans="2:11" x14ac:dyDescent="0.25">
      <c r="B8">
        <f t="shared" si="0"/>
        <v>4</v>
      </c>
      <c r="C8" s="71">
        <f t="shared" si="1"/>
        <v>2019</v>
      </c>
      <c r="D8" s="72">
        <v>815.88</v>
      </c>
      <c r="E8" s="14">
        <f t="shared" si="2"/>
        <v>5.8930234838456719E-2</v>
      </c>
      <c r="G8">
        <f t="shared" si="3"/>
        <v>4</v>
      </c>
      <c r="H8" s="71">
        <f t="shared" si="4"/>
        <v>2019</v>
      </c>
      <c r="I8" s="72">
        <v>175.15000000000006</v>
      </c>
      <c r="J8" s="14">
        <f t="shared" si="5"/>
        <v>5.8235797887529195E-3</v>
      </c>
    </row>
    <row r="9" spans="2:11" x14ac:dyDescent="0.25">
      <c r="B9">
        <f t="shared" si="0"/>
        <v>5</v>
      </c>
      <c r="C9" s="71">
        <f t="shared" si="1"/>
        <v>2020</v>
      </c>
      <c r="D9" s="72">
        <v>848.64</v>
      </c>
      <c r="E9" s="14">
        <f t="shared" si="2"/>
        <v>3.8602941176470562E-2</v>
      </c>
      <c r="G9">
        <f t="shared" si="3"/>
        <v>5</v>
      </c>
      <c r="H9" s="71">
        <f t="shared" si="4"/>
        <v>2020</v>
      </c>
      <c r="I9" s="72">
        <v>187.32</v>
      </c>
      <c r="J9" s="14">
        <f t="shared" si="5"/>
        <v>6.4969036942130742E-2</v>
      </c>
    </row>
    <row r="10" spans="2:11" x14ac:dyDescent="0.25">
      <c r="B10">
        <f t="shared" si="0"/>
        <v>6</v>
      </c>
      <c r="C10" s="71">
        <f t="shared" si="1"/>
        <v>2021</v>
      </c>
      <c r="D10" s="72">
        <v>938.94</v>
      </c>
      <c r="E10" s="14">
        <f t="shared" si="2"/>
        <v>9.617227937887407E-2</v>
      </c>
      <c r="G10">
        <f t="shared" si="3"/>
        <v>6</v>
      </c>
      <c r="H10" s="71">
        <f t="shared" si="4"/>
        <v>2021</v>
      </c>
      <c r="I10" s="72">
        <v>165.41000000000011</v>
      </c>
      <c r="J10" s="14">
        <f t="shared" si="5"/>
        <v>-0.13245873889123905</v>
      </c>
    </row>
    <row r="11" spans="2:11" x14ac:dyDescent="0.25">
      <c r="B11">
        <f t="shared" si="0"/>
        <v>7</v>
      </c>
      <c r="C11" s="71">
        <f t="shared" si="1"/>
        <v>2022</v>
      </c>
      <c r="D11" s="72">
        <v>1156.29</v>
      </c>
      <c r="E11" s="14">
        <f t="shared" si="2"/>
        <v>0.18797187556754791</v>
      </c>
      <c r="G11">
        <f t="shared" si="3"/>
        <v>7</v>
      </c>
      <c r="H11" s="71">
        <f t="shared" si="4"/>
        <v>2022</v>
      </c>
      <c r="I11" s="72">
        <v>203.22999999999993</v>
      </c>
      <c r="J11" s="14">
        <f t="shared" si="5"/>
        <v>0.18609457265167462</v>
      </c>
    </row>
    <row r="12" spans="2:11" x14ac:dyDescent="0.25">
      <c r="B12">
        <f t="shared" si="0"/>
        <v>8</v>
      </c>
      <c r="C12" s="71">
        <f t="shared" si="1"/>
        <v>2023</v>
      </c>
      <c r="D12" s="72">
        <v>1246.29</v>
      </c>
      <c r="E12" s="14">
        <f t="shared" si="2"/>
        <v>7.2214332137784942E-2</v>
      </c>
      <c r="G12">
        <f t="shared" si="3"/>
        <v>8</v>
      </c>
      <c r="H12" s="71">
        <f t="shared" si="4"/>
        <v>2023</v>
      </c>
      <c r="I12" s="72">
        <v>260.54999999999995</v>
      </c>
      <c r="J12" s="14">
        <f t="shared" si="5"/>
        <v>0.21999616196507399</v>
      </c>
    </row>
    <row r="13" spans="2:11" x14ac:dyDescent="0.25">
      <c r="B13">
        <f t="shared" si="0"/>
        <v>9</v>
      </c>
      <c r="C13" s="71">
        <f t="shared" si="1"/>
        <v>2024</v>
      </c>
      <c r="D13" s="72">
        <v>989.07</v>
      </c>
      <c r="E13" s="14">
        <f t="shared" si="2"/>
        <v>-0.26006248293851786</v>
      </c>
      <c r="G13">
        <f t="shared" si="3"/>
        <v>9</v>
      </c>
      <c r="H13" s="71">
        <f t="shared" si="4"/>
        <v>2024</v>
      </c>
      <c r="I13" s="72">
        <v>181.96000000000004</v>
      </c>
      <c r="J13" s="14">
        <f t="shared" si="5"/>
        <v>-0.43190811167289467</v>
      </c>
    </row>
    <row r="14" spans="2:11" x14ac:dyDescent="0.25">
      <c r="B14">
        <f t="shared" si="0"/>
        <v>10</v>
      </c>
      <c r="C14" s="71">
        <f t="shared" si="1"/>
        <v>2025</v>
      </c>
      <c r="D14" s="72">
        <v>794.23</v>
      </c>
      <c r="E14" s="14">
        <f t="shared" si="2"/>
        <v>-0.24531936592674675</v>
      </c>
      <c r="G14">
        <f t="shared" si="3"/>
        <v>10</v>
      </c>
      <c r="H14" s="71">
        <f t="shared" si="4"/>
        <v>2025</v>
      </c>
      <c r="I14" s="72">
        <v>179.12</v>
      </c>
      <c r="J14" s="14">
        <f t="shared" si="5"/>
        <v>-1.5855292541313348E-2</v>
      </c>
    </row>
    <row r="15" spans="2:11" x14ac:dyDescent="0.25">
      <c r="B15">
        <f t="shared" si="0"/>
        <v>11</v>
      </c>
      <c r="C15">
        <f t="shared" si="1"/>
        <v>2026</v>
      </c>
      <c r="D15" s="72">
        <f>FORECAST(B15,_xlfn.ANCHORARRAY($D$5),$B$5:$B$14)</f>
        <v>1113.4326666666668</v>
      </c>
      <c r="E15" s="14">
        <f t="shared" si="2"/>
        <v>0.28668340369631695</v>
      </c>
      <c r="G15">
        <f t="shared" si="3"/>
        <v>11</v>
      </c>
      <c r="H15">
        <f t="shared" si="4"/>
        <v>2026</v>
      </c>
      <c r="I15" s="72">
        <f>FORECAST(G15,_xlfn.ANCHORARRAY($I$5),$G$5:$G$14)</f>
        <v>216.47000000000006</v>
      </c>
      <c r="J15" s="14">
        <f t="shared" si="5"/>
        <v>0.17254122973160269</v>
      </c>
    </row>
    <row r="16" spans="2:11" x14ac:dyDescent="0.25">
      <c r="B16">
        <f t="shared" si="0"/>
        <v>12</v>
      </c>
      <c r="C16">
        <f t="shared" si="1"/>
        <v>2027</v>
      </c>
      <c r="D16" s="72">
        <f t="shared" ref="D16:D19" si="6">FORECAST(B16,_xlfn.ANCHORARRAY($D$5),$B$5:$B$14)</f>
        <v>1153.479878787879</v>
      </c>
      <c r="E16" s="14">
        <f t="shared" si="2"/>
        <v>3.4718604856198598E-2</v>
      </c>
      <c r="G16">
        <f t="shared" si="3"/>
        <v>12</v>
      </c>
      <c r="H16">
        <f t="shared" si="4"/>
        <v>2027</v>
      </c>
      <c r="I16" s="72">
        <f t="shared" ref="I16:I19" si="7">FORECAST(G16,_xlfn.ANCHORARRAY($I$5),$G$5:$G$14)</f>
        <v>222.69781818181826</v>
      </c>
      <c r="J16" s="14">
        <f t="shared" si="5"/>
        <v>2.7965330925395993E-2</v>
      </c>
    </row>
    <row r="17" spans="2:10" x14ac:dyDescent="0.25">
      <c r="B17">
        <f t="shared" si="0"/>
        <v>13</v>
      </c>
      <c r="C17">
        <f t="shared" si="1"/>
        <v>2028</v>
      </c>
      <c r="D17" s="72">
        <f t="shared" si="6"/>
        <v>1193.5270909090909</v>
      </c>
      <c r="E17" s="14">
        <f t="shared" si="2"/>
        <v>3.3553668304846407E-2</v>
      </c>
      <c r="G17">
        <f t="shared" si="3"/>
        <v>13</v>
      </c>
      <c r="H17">
        <f t="shared" si="4"/>
        <v>2028</v>
      </c>
      <c r="I17" s="72">
        <f t="shared" si="7"/>
        <v>228.92563636363644</v>
      </c>
      <c r="J17" s="14">
        <f t="shared" si="5"/>
        <v>2.7204546772234828E-2</v>
      </c>
    </row>
    <row r="18" spans="2:10" x14ac:dyDescent="0.25">
      <c r="B18">
        <f t="shared" si="0"/>
        <v>14</v>
      </c>
      <c r="C18">
        <f t="shared" si="1"/>
        <v>2029</v>
      </c>
      <c r="D18" s="72">
        <f t="shared" si="6"/>
        <v>1233.5743030303033</v>
      </c>
      <c r="E18" s="14">
        <f t="shared" si="2"/>
        <v>3.2464369615057276E-2</v>
      </c>
      <c r="G18">
        <f t="shared" si="3"/>
        <v>14</v>
      </c>
      <c r="H18">
        <f t="shared" si="4"/>
        <v>2029</v>
      </c>
      <c r="I18" s="72">
        <f t="shared" si="7"/>
        <v>235.15345454545462</v>
      </c>
      <c r="J18" s="14">
        <f t="shared" si="5"/>
        <v>2.6484059925278913E-2</v>
      </c>
    </row>
    <row r="19" spans="2:10" x14ac:dyDescent="0.25">
      <c r="B19">
        <f t="shared" si="0"/>
        <v>15</v>
      </c>
      <c r="C19">
        <f t="shared" si="1"/>
        <v>2030</v>
      </c>
      <c r="D19" s="72">
        <f t="shared" si="6"/>
        <v>1273.6215151515153</v>
      </c>
      <c r="E19" s="14">
        <f t="shared" si="2"/>
        <v>3.1443573812780401E-2</v>
      </c>
      <c r="G19">
        <f t="shared" si="3"/>
        <v>15</v>
      </c>
      <c r="H19">
        <f t="shared" si="4"/>
        <v>2030</v>
      </c>
      <c r="I19" s="72">
        <f t="shared" si="7"/>
        <v>241.3812727272728</v>
      </c>
      <c r="J19" s="14">
        <f t="shared" si="5"/>
        <v>2.5800751282203827E-2</v>
      </c>
    </row>
  </sheetData>
  <mergeCells count="2">
    <mergeCell ref="B3:F3"/>
    <mergeCell ref="G3: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60D79-6150-4551-A190-007B9AA78248}">
  <dimension ref="A1:H106"/>
  <sheetViews>
    <sheetView workbookViewId="0">
      <selection sqref="A1:XFD1048576"/>
    </sheetView>
  </sheetViews>
  <sheetFormatPr defaultRowHeight="15" x14ac:dyDescent="0.25"/>
  <sheetData>
    <row r="1" spans="1:8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</row>
    <row r="2" spans="1:8" x14ac:dyDescent="0.25">
      <c r="A2">
        <v>2663.85009765625</v>
      </c>
      <c r="B2">
        <v>2669.39990234375</v>
      </c>
      <c r="C2">
        <v>2588.05004882812</v>
      </c>
      <c r="D2">
        <v>2620.05004882812</v>
      </c>
      <c r="E2">
        <v>2518.43579101562</v>
      </c>
      <c r="F2">
        <v>5372834</v>
      </c>
      <c r="G2">
        <v>0</v>
      </c>
      <c r="H2">
        <v>0</v>
      </c>
    </row>
    <row r="3" spans="1:8" x14ac:dyDescent="0.25">
      <c r="A3">
        <v>2624.94995117187</v>
      </c>
      <c r="B3">
        <v>2626</v>
      </c>
      <c r="C3">
        <v>2511.85009765625</v>
      </c>
      <c r="D3">
        <v>2544</v>
      </c>
      <c r="E3">
        <v>2445.33520507812</v>
      </c>
      <c r="F3">
        <v>8467752</v>
      </c>
      <c r="G3">
        <v>0</v>
      </c>
      <c r="H3">
        <v>0</v>
      </c>
    </row>
    <row r="4" spans="1:8" x14ac:dyDescent="0.25">
      <c r="A4">
        <v>2546</v>
      </c>
      <c r="B4">
        <v>2584.60009765625</v>
      </c>
      <c r="C4">
        <v>2531</v>
      </c>
      <c r="D4">
        <v>2565.39990234375</v>
      </c>
      <c r="E4">
        <v>2465.9052734375</v>
      </c>
      <c r="F4">
        <v>8634421</v>
      </c>
      <c r="G4">
        <v>0</v>
      </c>
      <c r="H4">
        <v>0</v>
      </c>
    </row>
    <row r="5" spans="1:8" x14ac:dyDescent="0.25">
      <c r="A5">
        <v>2565.39990234375</v>
      </c>
      <c r="B5">
        <v>2565.39990234375</v>
      </c>
      <c r="C5">
        <v>2365.44995117187</v>
      </c>
      <c r="D5">
        <v>2428.30004882812</v>
      </c>
      <c r="E5">
        <v>2334.12255859375</v>
      </c>
      <c r="F5">
        <v>8285566</v>
      </c>
      <c r="G5">
        <v>0</v>
      </c>
      <c r="H5">
        <v>0</v>
      </c>
    </row>
    <row r="6" spans="1:8" x14ac:dyDescent="0.25">
      <c r="A6">
        <v>2410</v>
      </c>
      <c r="B6">
        <v>2511.55004882812</v>
      </c>
      <c r="C6">
        <v>2410</v>
      </c>
      <c r="D6">
        <v>2452.60009765625</v>
      </c>
      <c r="E6">
        <v>2357.48022460937</v>
      </c>
      <c r="F6">
        <v>8509455</v>
      </c>
      <c r="G6">
        <v>0</v>
      </c>
      <c r="H6">
        <v>0</v>
      </c>
    </row>
    <row r="7" spans="1:8" x14ac:dyDescent="0.25">
      <c r="A7">
        <v>2464</v>
      </c>
      <c r="B7">
        <v>2464.75</v>
      </c>
      <c r="C7">
        <v>2399</v>
      </c>
      <c r="D7">
        <v>2424.14990234375</v>
      </c>
      <c r="E7">
        <v>2330.13305664062</v>
      </c>
      <c r="F7">
        <v>6667167</v>
      </c>
      <c r="G7">
        <v>0</v>
      </c>
      <c r="H7">
        <v>0</v>
      </c>
    </row>
    <row r="8" spans="1:8" x14ac:dyDescent="0.25">
      <c r="A8">
        <v>2424.10009765625</v>
      </c>
      <c r="B8">
        <v>2429.85009765625</v>
      </c>
      <c r="C8">
        <v>2346.75</v>
      </c>
      <c r="D8">
        <v>2375.25</v>
      </c>
      <c r="E8">
        <v>2283.1298828125</v>
      </c>
      <c r="F8">
        <v>8565297</v>
      </c>
      <c r="G8">
        <v>0</v>
      </c>
      <c r="H8">
        <v>0</v>
      </c>
    </row>
    <row r="9" spans="1:8" x14ac:dyDescent="0.25">
      <c r="A9">
        <v>2389.5</v>
      </c>
      <c r="B9">
        <v>2422.80004882812</v>
      </c>
      <c r="C9">
        <v>2365.75</v>
      </c>
      <c r="D9">
        <v>2394.10009765625</v>
      </c>
      <c r="E9">
        <v>2301.2490234375</v>
      </c>
      <c r="F9">
        <v>6206747</v>
      </c>
      <c r="G9">
        <v>0</v>
      </c>
      <c r="H9">
        <v>0</v>
      </c>
    </row>
    <row r="10" spans="1:8" x14ac:dyDescent="0.25">
      <c r="A10">
        <v>2391.10009765625</v>
      </c>
      <c r="B10">
        <v>2438.80004882812</v>
      </c>
      <c r="C10">
        <v>2380</v>
      </c>
      <c r="D10">
        <v>2409.69995117187</v>
      </c>
      <c r="E10">
        <v>2316.24389648437</v>
      </c>
      <c r="F10">
        <v>7755500</v>
      </c>
      <c r="G10">
        <v>0</v>
      </c>
      <c r="H10">
        <v>0</v>
      </c>
    </row>
    <row r="11" spans="1:8" x14ac:dyDescent="0.25">
      <c r="A11">
        <v>2416.19995117187</v>
      </c>
      <c r="B11">
        <v>2427.89990234375</v>
      </c>
      <c r="C11">
        <v>2375.30004882812</v>
      </c>
      <c r="D11">
        <v>2419.55004882812</v>
      </c>
      <c r="E11">
        <v>2325.7119140625</v>
      </c>
      <c r="F11">
        <v>6263275</v>
      </c>
      <c r="G11">
        <v>0</v>
      </c>
      <c r="H11">
        <v>0</v>
      </c>
    </row>
    <row r="12" spans="1:8" x14ac:dyDescent="0.25">
      <c r="A12">
        <v>2409</v>
      </c>
      <c r="B12">
        <v>2413</v>
      </c>
      <c r="C12">
        <v>2301.85009765625</v>
      </c>
      <c r="D12">
        <v>2327.69995117187</v>
      </c>
      <c r="E12">
        <v>2237.42407226562</v>
      </c>
      <c r="F12">
        <v>10419505</v>
      </c>
      <c r="G12">
        <v>0</v>
      </c>
      <c r="H12">
        <v>0</v>
      </c>
    </row>
    <row r="13" spans="1:8" x14ac:dyDescent="0.25">
      <c r="A13">
        <v>2320.80004882812</v>
      </c>
      <c r="B13">
        <v>2325</v>
      </c>
      <c r="C13">
        <v>2232.05004882812</v>
      </c>
      <c r="D13">
        <v>2256.55004882812</v>
      </c>
      <c r="E13">
        <v>2169.03344726562</v>
      </c>
      <c r="F13">
        <v>16715348</v>
      </c>
      <c r="G13">
        <v>0</v>
      </c>
      <c r="H13">
        <v>0</v>
      </c>
    </row>
    <row r="14" spans="1:8" x14ac:dyDescent="0.25">
      <c r="A14">
        <v>2256.55004882812</v>
      </c>
      <c r="B14">
        <v>2287.89990234375</v>
      </c>
      <c r="C14">
        <v>2232</v>
      </c>
      <c r="D14">
        <v>2264.35009765625</v>
      </c>
      <c r="E14">
        <v>2176.53100585937</v>
      </c>
      <c r="F14">
        <v>8382248</v>
      </c>
      <c r="G14">
        <v>0</v>
      </c>
      <c r="H14">
        <v>0</v>
      </c>
    </row>
    <row r="15" spans="1:8" x14ac:dyDescent="0.25">
      <c r="A15">
        <v>2270</v>
      </c>
      <c r="B15">
        <v>2298</v>
      </c>
      <c r="C15">
        <v>2249.25</v>
      </c>
      <c r="D15">
        <v>2266.94995117187</v>
      </c>
      <c r="E15">
        <v>2179.03002929687</v>
      </c>
      <c r="F15">
        <v>6868381</v>
      </c>
      <c r="G15">
        <v>0</v>
      </c>
      <c r="H15">
        <v>0</v>
      </c>
    </row>
    <row r="16" spans="1:8" x14ac:dyDescent="0.25">
      <c r="A16">
        <v>2277</v>
      </c>
      <c r="B16">
        <v>2288.94995117187</v>
      </c>
      <c r="C16">
        <v>2228.60009765625</v>
      </c>
      <c r="D16">
        <v>2232.30004882812</v>
      </c>
      <c r="E16">
        <v>2145.72387695312</v>
      </c>
      <c r="F16">
        <v>8014181</v>
      </c>
      <c r="G16">
        <v>0</v>
      </c>
      <c r="H16">
        <v>0</v>
      </c>
    </row>
    <row r="17" spans="1:8" x14ac:dyDescent="0.25">
      <c r="A17">
        <v>2227.69995117187</v>
      </c>
      <c r="B17">
        <v>2243.75</v>
      </c>
      <c r="C17">
        <v>2172.05004882812</v>
      </c>
      <c r="D17">
        <v>2231.60009765625</v>
      </c>
      <c r="E17">
        <v>2145.05102539062</v>
      </c>
      <c r="F17">
        <v>13460558</v>
      </c>
      <c r="G17">
        <v>0</v>
      </c>
      <c r="H17">
        <v>0</v>
      </c>
    </row>
    <row r="18" spans="1:8" x14ac:dyDescent="0.25">
      <c r="A18">
        <v>2250</v>
      </c>
      <c r="B18">
        <v>2273.5</v>
      </c>
      <c r="C18">
        <v>2215.10009765625</v>
      </c>
      <c r="D18">
        <v>2222.64990234375</v>
      </c>
      <c r="E18">
        <v>2136.4482421875</v>
      </c>
      <c r="F18">
        <v>12459662</v>
      </c>
      <c r="G18">
        <v>0</v>
      </c>
      <c r="H18">
        <v>0</v>
      </c>
    </row>
    <row r="19" spans="1:8" x14ac:dyDescent="0.25">
      <c r="A19">
        <v>2234</v>
      </c>
      <c r="B19">
        <v>2243.19995117187</v>
      </c>
      <c r="C19">
        <v>2204</v>
      </c>
      <c r="D19">
        <v>2217.05004882812</v>
      </c>
      <c r="E19">
        <v>2131.0654296875</v>
      </c>
      <c r="F19">
        <v>8250084</v>
      </c>
      <c r="G19">
        <v>0</v>
      </c>
      <c r="H19">
        <v>0</v>
      </c>
    </row>
    <row r="20" spans="1:8" x14ac:dyDescent="0.25">
      <c r="A20">
        <v>2225</v>
      </c>
      <c r="B20">
        <v>2389.60009765625</v>
      </c>
      <c r="C20">
        <v>2212</v>
      </c>
      <c r="D20">
        <v>2362.55004882812</v>
      </c>
      <c r="E20">
        <v>2270.92260742187</v>
      </c>
      <c r="F20">
        <v>15879758</v>
      </c>
      <c r="G20">
        <v>0</v>
      </c>
      <c r="H20">
        <v>0</v>
      </c>
    </row>
    <row r="21" spans="1:8" x14ac:dyDescent="0.25">
      <c r="A21">
        <v>2374</v>
      </c>
      <c r="B21">
        <v>2381.64990234375</v>
      </c>
      <c r="C21">
        <v>2301.35009765625</v>
      </c>
      <c r="D21">
        <v>2327.14990234375</v>
      </c>
      <c r="E21">
        <v>2236.89526367187</v>
      </c>
      <c r="F21">
        <v>5890738</v>
      </c>
      <c r="G21">
        <v>0</v>
      </c>
      <c r="H21">
        <v>0</v>
      </c>
    </row>
    <row r="22" spans="1:8" x14ac:dyDescent="0.25">
      <c r="A22">
        <v>2320.35009765625</v>
      </c>
      <c r="B22">
        <v>2386.80004882812</v>
      </c>
      <c r="C22">
        <v>2301.75</v>
      </c>
      <c r="D22">
        <v>2369.05004882812</v>
      </c>
      <c r="E22">
        <v>2277.17041015625</v>
      </c>
      <c r="F22">
        <v>6167628</v>
      </c>
      <c r="G22">
        <v>0</v>
      </c>
      <c r="H22">
        <v>0</v>
      </c>
    </row>
    <row r="23" spans="1:8" x14ac:dyDescent="0.25">
      <c r="A23">
        <v>2369.05004882812</v>
      </c>
      <c r="B23">
        <v>2409</v>
      </c>
      <c r="C23">
        <v>2317.60009765625</v>
      </c>
      <c r="D23">
        <v>2329.05004882812</v>
      </c>
      <c r="E23">
        <v>2238.72143554687</v>
      </c>
      <c r="F23">
        <v>11707742</v>
      </c>
      <c r="G23">
        <v>0</v>
      </c>
      <c r="H23">
        <v>0</v>
      </c>
    </row>
    <row r="24" spans="1:8" x14ac:dyDescent="0.25">
      <c r="A24">
        <v>2381</v>
      </c>
      <c r="B24">
        <v>2723.94995117187</v>
      </c>
      <c r="C24">
        <v>2342.10009765625</v>
      </c>
      <c r="D24">
        <v>2577.80004882812</v>
      </c>
      <c r="E24">
        <v>2477.82421875</v>
      </c>
      <c r="F24">
        <v>28171369</v>
      </c>
      <c r="G24">
        <v>0</v>
      </c>
      <c r="H24">
        <v>0</v>
      </c>
    </row>
    <row r="25" spans="1:8" x14ac:dyDescent="0.25">
      <c r="A25">
        <v>2579</v>
      </c>
      <c r="B25">
        <v>2593.64990234375</v>
      </c>
      <c r="C25">
        <v>2446.44995117187</v>
      </c>
      <c r="D25">
        <v>2479.75</v>
      </c>
      <c r="E25">
        <v>2383.57690429687</v>
      </c>
      <c r="F25">
        <v>9458872</v>
      </c>
      <c r="G25">
        <v>24</v>
      </c>
      <c r="H25">
        <v>0</v>
      </c>
    </row>
    <row r="26" spans="1:8" x14ac:dyDescent="0.25">
      <c r="A26">
        <v>2479.75</v>
      </c>
      <c r="B26">
        <v>2498</v>
      </c>
      <c r="C26">
        <v>2426.55004882812</v>
      </c>
      <c r="D26">
        <v>2441.30004882812</v>
      </c>
      <c r="E26">
        <v>2369.48046875</v>
      </c>
      <c r="F26">
        <v>8617434</v>
      </c>
      <c r="G26">
        <v>0</v>
      </c>
      <c r="H26">
        <v>0</v>
      </c>
    </row>
    <row r="27" spans="1:8" x14ac:dyDescent="0.25">
      <c r="A27">
        <v>2435</v>
      </c>
      <c r="B27">
        <v>2490.5</v>
      </c>
      <c r="C27">
        <v>2427.05004882812</v>
      </c>
      <c r="D27">
        <v>2473.05004882812</v>
      </c>
      <c r="E27">
        <v>2400.29638671875</v>
      </c>
      <c r="F27">
        <v>10050481</v>
      </c>
      <c r="G27">
        <v>0</v>
      </c>
      <c r="H27">
        <v>0</v>
      </c>
    </row>
    <row r="28" spans="1:8" x14ac:dyDescent="0.25">
      <c r="A28">
        <v>2461.05004882812</v>
      </c>
      <c r="B28">
        <v>2554</v>
      </c>
      <c r="C28">
        <v>2450.10009765625</v>
      </c>
      <c r="D28">
        <v>2547</v>
      </c>
      <c r="E28">
        <v>2472.07080078125</v>
      </c>
      <c r="F28">
        <v>9755776</v>
      </c>
      <c r="G28">
        <v>0</v>
      </c>
      <c r="H28">
        <v>0</v>
      </c>
    </row>
    <row r="29" spans="1:8" x14ac:dyDescent="0.25">
      <c r="A29">
        <v>2560</v>
      </c>
      <c r="B29">
        <v>2639.5</v>
      </c>
      <c r="C29">
        <v>2536.25</v>
      </c>
      <c r="D29">
        <v>2622.25</v>
      </c>
      <c r="E29">
        <v>2545.10693359375</v>
      </c>
      <c r="F29">
        <v>9407687</v>
      </c>
      <c r="G29">
        <v>0</v>
      </c>
      <c r="H29">
        <v>0</v>
      </c>
    </row>
    <row r="30" spans="1:8" x14ac:dyDescent="0.25">
      <c r="A30">
        <v>2628</v>
      </c>
      <c r="B30">
        <v>2751.19995117187</v>
      </c>
      <c r="C30">
        <v>2613.64990234375</v>
      </c>
      <c r="D30">
        <v>2727</v>
      </c>
      <c r="E30">
        <v>2646.775390625</v>
      </c>
      <c r="F30">
        <v>11456728</v>
      </c>
      <c r="G30">
        <v>0</v>
      </c>
      <c r="H30">
        <v>0</v>
      </c>
    </row>
    <row r="31" spans="1:8" x14ac:dyDescent="0.25">
      <c r="A31">
        <v>2705.69995117187</v>
      </c>
      <c r="B31">
        <v>2811.30004882812</v>
      </c>
      <c r="C31">
        <v>2670</v>
      </c>
      <c r="D31">
        <v>2711.05004882812</v>
      </c>
      <c r="E31">
        <v>2631.294921875</v>
      </c>
      <c r="F31">
        <v>13731794</v>
      </c>
      <c r="G31">
        <v>0</v>
      </c>
      <c r="H31">
        <v>0</v>
      </c>
    </row>
    <row r="32" spans="1:8" x14ac:dyDescent="0.25">
      <c r="A32">
        <v>2711.19995117187</v>
      </c>
      <c r="B32">
        <v>2759.5</v>
      </c>
      <c r="C32">
        <v>2675.05004882812</v>
      </c>
      <c r="D32">
        <v>2692.55004882812</v>
      </c>
      <c r="E32">
        <v>2613.3388671875</v>
      </c>
      <c r="F32">
        <v>7893759</v>
      </c>
      <c r="G32">
        <v>0</v>
      </c>
      <c r="H32">
        <v>0</v>
      </c>
    </row>
    <row r="33" spans="1:8" x14ac:dyDescent="0.25">
      <c r="A33">
        <v>2675.94995117187</v>
      </c>
      <c r="B33">
        <v>2781.85009765625</v>
      </c>
      <c r="C33">
        <v>2666.19995117187</v>
      </c>
      <c r="D33">
        <v>2747.19995117187</v>
      </c>
      <c r="E33">
        <v>2666.38134765625</v>
      </c>
      <c r="F33">
        <v>9876829</v>
      </c>
      <c r="G33">
        <v>0</v>
      </c>
      <c r="H33">
        <v>0</v>
      </c>
    </row>
    <row r="34" spans="1:8" x14ac:dyDescent="0.25">
      <c r="A34">
        <v>2738</v>
      </c>
      <c r="B34">
        <v>2763.39990234375</v>
      </c>
      <c r="C34">
        <v>2706.60009765625</v>
      </c>
      <c r="D34">
        <v>2748.25</v>
      </c>
      <c r="E34">
        <v>2667.400390625</v>
      </c>
      <c r="F34">
        <v>5023336</v>
      </c>
      <c r="G34">
        <v>0</v>
      </c>
      <c r="H34">
        <v>0</v>
      </c>
    </row>
    <row r="35" spans="1:8" x14ac:dyDescent="0.25">
      <c r="A35">
        <v>2750.05004882812</v>
      </c>
      <c r="B35">
        <v>2821</v>
      </c>
      <c r="C35">
        <v>2735.05004882812</v>
      </c>
      <c r="D35">
        <v>2815.60009765625</v>
      </c>
      <c r="E35">
        <v>2732.76904296875</v>
      </c>
      <c r="F35">
        <v>7310293</v>
      </c>
      <c r="G35">
        <v>0</v>
      </c>
      <c r="H35">
        <v>0</v>
      </c>
    </row>
    <row r="36" spans="1:8" x14ac:dyDescent="0.25">
      <c r="A36">
        <v>2815.60009765625</v>
      </c>
      <c r="B36">
        <v>2834.94995117187</v>
      </c>
      <c r="C36">
        <v>2745</v>
      </c>
      <c r="D36">
        <v>2778</v>
      </c>
      <c r="E36">
        <v>2696.275390625</v>
      </c>
      <c r="F36">
        <v>10392651</v>
      </c>
      <c r="G36">
        <v>0</v>
      </c>
      <c r="H36">
        <v>0</v>
      </c>
    </row>
    <row r="37" spans="1:8" x14ac:dyDescent="0.25">
      <c r="A37">
        <v>2794</v>
      </c>
      <c r="B37">
        <v>2866.44995117187</v>
      </c>
      <c r="C37">
        <v>2771.64990234375</v>
      </c>
      <c r="D37">
        <v>2838.94995117187</v>
      </c>
      <c r="E37">
        <v>2755.43212890625</v>
      </c>
      <c r="F37">
        <v>8238955</v>
      </c>
      <c r="G37">
        <v>0</v>
      </c>
      <c r="H37">
        <v>0</v>
      </c>
    </row>
    <row r="38" spans="1:8" x14ac:dyDescent="0.25">
      <c r="A38">
        <v>2853.10009765625</v>
      </c>
      <c r="B38">
        <v>2963.39990234375</v>
      </c>
      <c r="C38">
        <v>2843.19995117187</v>
      </c>
      <c r="D38">
        <v>2932.94995117187</v>
      </c>
      <c r="E38">
        <v>2846.66674804687</v>
      </c>
      <c r="F38">
        <v>11149568</v>
      </c>
      <c r="G38">
        <v>0</v>
      </c>
      <c r="H38">
        <v>0</v>
      </c>
    </row>
    <row r="39" spans="1:8" x14ac:dyDescent="0.25">
      <c r="A39">
        <v>2910</v>
      </c>
      <c r="B39">
        <v>2989.35009765625</v>
      </c>
      <c r="C39">
        <v>2807.39990234375</v>
      </c>
      <c r="D39">
        <v>2977.60009765625</v>
      </c>
      <c r="E39">
        <v>2890.00317382812</v>
      </c>
      <c r="F39">
        <v>8407156</v>
      </c>
      <c r="G39">
        <v>0</v>
      </c>
      <c r="H39">
        <v>0</v>
      </c>
    </row>
    <row r="40" spans="1:8" x14ac:dyDescent="0.25">
      <c r="A40">
        <v>2980</v>
      </c>
      <c r="B40">
        <v>3035</v>
      </c>
      <c r="C40">
        <v>2905.10009765625</v>
      </c>
      <c r="D40">
        <v>2966.25</v>
      </c>
      <c r="E40">
        <v>2878.9873046875</v>
      </c>
      <c r="F40">
        <v>9165102</v>
      </c>
      <c r="G40">
        <v>0</v>
      </c>
      <c r="H40">
        <v>0</v>
      </c>
    </row>
    <row r="41" spans="1:8" x14ac:dyDescent="0.25">
      <c r="A41">
        <v>2964.19995117187</v>
      </c>
      <c r="B41">
        <v>2997.89990234375</v>
      </c>
      <c r="C41">
        <v>2817.05004882812</v>
      </c>
      <c r="D41">
        <v>2848.75</v>
      </c>
      <c r="E41">
        <v>2764.94384765625</v>
      </c>
      <c r="F41">
        <v>6502277</v>
      </c>
      <c r="G41">
        <v>0</v>
      </c>
      <c r="H41">
        <v>0</v>
      </c>
    </row>
    <row r="42" spans="1:8" x14ac:dyDescent="0.25">
      <c r="A42">
        <v>2845</v>
      </c>
      <c r="B42">
        <v>2886</v>
      </c>
      <c r="C42">
        <v>2733.19995117187</v>
      </c>
      <c r="D42">
        <v>2783.19995117187</v>
      </c>
      <c r="E42">
        <v>2701.322265625</v>
      </c>
      <c r="F42">
        <v>7263130</v>
      </c>
      <c r="G42">
        <v>0</v>
      </c>
      <c r="H42">
        <v>0</v>
      </c>
    </row>
    <row r="43" spans="1:8" x14ac:dyDescent="0.25">
      <c r="A43">
        <v>2791.60009765625</v>
      </c>
      <c r="B43">
        <v>2804.69995117187</v>
      </c>
      <c r="C43">
        <v>2693.44995117187</v>
      </c>
      <c r="D43">
        <v>2717.10009765625</v>
      </c>
      <c r="E43">
        <v>2637.1669921875</v>
      </c>
      <c r="F43">
        <v>5632992</v>
      </c>
      <c r="G43">
        <v>0</v>
      </c>
      <c r="H43">
        <v>0</v>
      </c>
    </row>
    <row r="44" spans="1:8" x14ac:dyDescent="0.25">
      <c r="A44">
        <v>2715</v>
      </c>
      <c r="B44">
        <v>2738</v>
      </c>
      <c r="C44">
        <v>2452.60009765625</v>
      </c>
      <c r="D44">
        <v>2528.05004882812</v>
      </c>
      <c r="E44">
        <v>2453.67846679687</v>
      </c>
      <c r="F44">
        <v>15473993</v>
      </c>
      <c r="G44">
        <v>0</v>
      </c>
      <c r="H44">
        <v>0</v>
      </c>
    </row>
    <row r="45" spans="1:8" x14ac:dyDescent="0.25">
      <c r="A45">
        <v>2544</v>
      </c>
      <c r="B45">
        <v>2589.60009765625</v>
      </c>
      <c r="C45">
        <v>2511.35009765625</v>
      </c>
      <c r="D45">
        <v>2537.5</v>
      </c>
      <c r="E45">
        <v>2462.8505859375</v>
      </c>
      <c r="F45">
        <v>5769007</v>
      </c>
      <c r="G45">
        <v>0</v>
      </c>
      <c r="H45">
        <v>0</v>
      </c>
    </row>
    <row r="46" spans="1:8" x14ac:dyDescent="0.25">
      <c r="A46">
        <v>2547</v>
      </c>
      <c r="B46">
        <v>2547</v>
      </c>
      <c r="C46">
        <v>2466.10009765625</v>
      </c>
      <c r="D46">
        <v>2507.69995117187</v>
      </c>
      <c r="E46">
        <v>2433.92700195312</v>
      </c>
      <c r="F46">
        <v>6041795</v>
      </c>
      <c r="G46">
        <v>29</v>
      </c>
      <c r="H46">
        <v>0</v>
      </c>
    </row>
    <row r="47" spans="1:8" x14ac:dyDescent="0.25">
      <c r="A47">
        <v>2509</v>
      </c>
      <c r="B47">
        <v>2514.89990234375</v>
      </c>
      <c r="C47">
        <v>2383.69995117187</v>
      </c>
      <c r="D47">
        <v>2389.19995117187</v>
      </c>
      <c r="E47">
        <v>2345.89501953125</v>
      </c>
      <c r="F47">
        <v>6505209</v>
      </c>
      <c r="G47">
        <v>0</v>
      </c>
      <c r="H47">
        <v>0</v>
      </c>
    </row>
    <row r="48" spans="1:8" x14ac:dyDescent="0.25">
      <c r="A48">
        <v>2401.14990234375</v>
      </c>
      <c r="B48">
        <v>2452.10009765625</v>
      </c>
      <c r="C48">
        <v>2375.75</v>
      </c>
      <c r="D48">
        <v>2445.25</v>
      </c>
      <c r="E48">
        <v>2400.92919921875</v>
      </c>
      <c r="F48">
        <v>5495885</v>
      </c>
      <c r="G48">
        <v>0</v>
      </c>
      <c r="H48">
        <v>0</v>
      </c>
    </row>
    <row r="49" spans="1:8" x14ac:dyDescent="0.25">
      <c r="A49">
        <v>2470</v>
      </c>
      <c r="B49">
        <v>2539.14990234375</v>
      </c>
      <c r="C49">
        <v>2453.19995117187</v>
      </c>
      <c r="D49">
        <v>2496.14990234375</v>
      </c>
      <c r="E49">
        <v>2450.90649414062</v>
      </c>
      <c r="F49">
        <v>10634413</v>
      </c>
      <c r="G49">
        <v>0</v>
      </c>
      <c r="H49">
        <v>0</v>
      </c>
    </row>
    <row r="50" spans="1:8" x14ac:dyDescent="0.25">
      <c r="A50">
        <v>2485</v>
      </c>
      <c r="B50">
        <v>2515</v>
      </c>
      <c r="C50">
        <v>2450.05004882812</v>
      </c>
      <c r="D50">
        <v>2483.80004882812</v>
      </c>
      <c r="E50">
        <v>2438.78051757812</v>
      </c>
      <c r="F50">
        <v>7349957</v>
      </c>
      <c r="G50">
        <v>0</v>
      </c>
      <c r="H50">
        <v>0</v>
      </c>
    </row>
    <row r="51" spans="1:8" x14ac:dyDescent="0.25">
      <c r="A51">
        <v>2465</v>
      </c>
      <c r="B51">
        <v>2476.94995117187</v>
      </c>
      <c r="C51">
        <v>2333.44995117187</v>
      </c>
      <c r="D51">
        <v>2390.10009765625</v>
      </c>
      <c r="E51">
        <v>2346.77880859375</v>
      </c>
      <c r="F51">
        <v>12659042</v>
      </c>
      <c r="G51">
        <v>0</v>
      </c>
      <c r="H51">
        <v>0</v>
      </c>
    </row>
    <row r="52" spans="1:8" x14ac:dyDescent="0.25">
      <c r="A52">
        <v>2390.30004882812</v>
      </c>
      <c r="B52">
        <v>2393</v>
      </c>
      <c r="C52">
        <v>2324.64990234375</v>
      </c>
      <c r="D52">
        <v>2333.89990234375</v>
      </c>
      <c r="E52">
        <v>2291.59741210937</v>
      </c>
      <c r="F52">
        <v>8093130</v>
      </c>
      <c r="G52">
        <v>0</v>
      </c>
      <c r="H52">
        <v>0</v>
      </c>
    </row>
    <row r="53" spans="1:8" x14ac:dyDescent="0.25">
      <c r="A53">
        <v>2337</v>
      </c>
      <c r="B53">
        <v>2356.94995117187</v>
      </c>
      <c r="C53">
        <v>2315.25</v>
      </c>
      <c r="D53">
        <v>2341.25</v>
      </c>
      <c r="E53">
        <v>2298.81420898437</v>
      </c>
      <c r="F53">
        <v>3340430</v>
      </c>
      <c r="G53">
        <v>0</v>
      </c>
      <c r="H53">
        <v>0</v>
      </c>
    </row>
    <row r="54" spans="1:8" x14ac:dyDescent="0.25">
      <c r="A54">
        <v>2341.5</v>
      </c>
      <c r="B54">
        <v>2414.60009765625</v>
      </c>
      <c r="C54">
        <v>2315.5</v>
      </c>
      <c r="D54">
        <v>2406.25</v>
      </c>
      <c r="E54">
        <v>2362.63598632812</v>
      </c>
      <c r="F54">
        <v>6287818</v>
      </c>
      <c r="G54">
        <v>0</v>
      </c>
      <c r="H54">
        <v>0</v>
      </c>
    </row>
    <row r="55" spans="1:8" x14ac:dyDescent="0.25">
      <c r="A55">
        <v>2418</v>
      </c>
      <c r="B55">
        <v>2473.64990234375</v>
      </c>
      <c r="C55">
        <v>2361.64990234375</v>
      </c>
      <c r="D55">
        <v>2442.05004882812</v>
      </c>
      <c r="E55">
        <v>2397.78735351562</v>
      </c>
      <c r="F55">
        <v>6853716</v>
      </c>
      <c r="G55">
        <v>0</v>
      </c>
      <c r="H55">
        <v>0</v>
      </c>
    </row>
    <row r="56" spans="1:8" x14ac:dyDescent="0.25">
      <c r="A56">
        <v>2417.05004882812</v>
      </c>
      <c r="B56">
        <v>2468</v>
      </c>
      <c r="C56">
        <v>2326.05004882812</v>
      </c>
      <c r="D56">
        <v>2354</v>
      </c>
      <c r="E56">
        <v>2311.33325195312</v>
      </c>
      <c r="F56">
        <v>9958505</v>
      </c>
      <c r="G56">
        <v>0</v>
      </c>
      <c r="H56">
        <v>0</v>
      </c>
    </row>
    <row r="57" spans="1:8" x14ac:dyDescent="0.25">
      <c r="A57">
        <v>2356.44995117187</v>
      </c>
      <c r="B57">
        <v>2380.80004882812</v>
      </c>
      <c r="C57">
        <v>2253.85009765625</v>
      </c>
      <c r="D57">
        <v>2368.10009765625</v>
      </c>
      <c r="E57">
        <v>2325.177734375</v>
      </c>
      <c r="F57">
        <v>10980794</v>
      </c>
      <c r="G57">
        <v>0</v>
      </c>
      <c r="H57">
        <v>0</v>
      </c>
    </row>
    <row r="58" spans="1:8" x14ac:dyDescent="0.25">
      <c r="A58">
        <v>2365</v>
      </c>
      <c r="B58">
        <v>2602</v>
      </c>
      <c r="C58">
        <v>2361.14990234375</v>
      </c>
      <c r="D58">
        <v>2506.05004882812</v>
      </c>
      <c r="E58">
        <v>2460.62719726562</v>
      </c>
      <c r="F58">
        <v>11576197</v>
      </c>
      <c r="G58">
        <v>0</v>
      </c>
      <c r="H58">
        <v>0</v>
      </c>
    </row>
    <row r="59" spans="1:8" x14ac:dyDescent="0.25">
      <c r="A59">
        <v>2505</v>
      </c>
      <c r="B59">
        <v>2520</v>
      </c>
      <c r="C59">
        <v>2336.10009765625</v>
      </c>
      <c r="D59">
        <v>2363.85009765625</v>
      </c>
      <c r="E59">
        <v>2321.00463867187</v>
      </c>
      <c r="F59">
        <v>7866085</v>
      </c>
      <c r="G59">
        <v>0</v>
      </c>
      <c r="H59">
        <v>0</v>
      </c>
    </row>
    <row r="60" spans="1:8" x14ac:dyDescent="0.25">
      <c r="A60">
        <v>2370.89990234375</v>
      </c>
      <c r="B60">
        <v>2398</v>
      </c>
      <c r="C60">
        <v>2296.55004882812</v>
      </c>
      <c r="D60">
        <v>2318.35009765625</v>
      </c>
      <c r="E60">
        <v>2276.32934570312</v>
      </c>
      <c r="F60">
        <v>6527870</v>
      </c>
      <c r="G60">
        <v>0</v>
      </c>
      <c r="H60">
        <v>0</v>
      </c>
    </row>
    <row r="61" spans="1:8" x14ac:dyDescent="0.25">
      <c r="A61">
        <v>2318.35009765625</v>
      </c>
      <c r="B61">
        <v>2338.55004882812</v>
      </c>
      <c r="C61">
        <v>2226.39990234375</v>
      </c>
      <c r="D61">
        <v>2241.64990234375</v>
      </c>
      <c r="E61">
        <v>2201.01953125</v>
      </c>
      <c r="F61">
        <v>7953921</v>
      </c>
      <c r="G61">
        <v>0</v>
      </c>
      <c r="H61">
        <v>0</v>
      </c>
    </row>
    <row r="62" spans="1:8" x14ac:dyDescent="0.25">
      <c r="A62">
        <v>2230</v>
      </c>
      <c r="B62">
        <v>2269.64990234375</v>
      </c>
      <c r="C62">
        <v>2185.85009765625</v>
      </c>
      <c r="D62">
        <v>2190.25</v>
      </c>
      <c r="E62">
        <v>2150.55126953125</v>
      </c>
      <c r="F62">
        <v>8998896</v>
      </c>
      <c r="G62">
        <v>0</v>
      </c>
      <c r="H62">
        <v>0</v>
      </c>
    </row>
    <row r="63" spans="1:8" x14ac:dyDescent="0.25">
      <c r="A63">
        <v>2199</v>
      </c>
      <c r="B63">
        <v>2229.80004882812</v>
      </c>
      <c r="C63">
        <v>2136</v>
      </c>
      <c r="D63">
        <v>2204.55004882812</v>
      </c>
      <c r="E63">
        <v>2164.59204101562</v>
      </c>
      <c r="F63">
        <v>7847697</v>
      </c>
      <c r="G63">
        <v>0</v>
      </c>
      <c r="H63">
        <v>0</v>
      </c>
    </row>
    <row r="64" spans="1:8" x14ac:dyDescent="0.25">
      <c r="A64">
        <v>2208</v>
      </c>
      <c r="B64">
        <v>2267.14990234375</v>
      </c>
      <c r="C64">
        <v>2164.44995117187</v>
      </c>
      <c r="D64">
        <v>2174.80004882812</v>
      </c>
      <c r="E64">
        <v>2135.38134765625</v>
      </c>
      <c r="F64">
        <v>5940119</v>
      </c>
      <c r="G64">
        <v>0</v>
      </c>
      <c r="H64">
        <v>0</v>
      </c>
    </row>
    <row r="65" spans="1:8" x14ac:dyDescent="0.25">
      <c r="A65">
        <v>2161</v>
      </c>
      <c r="B65">
        <v>2255.19995117187</v>
      </c>
      <c r="C65">
        <v>2156.5</v>
      </c>
      <c r="D65">
        <v>2246.19995117187</v>
      </c>
      <c r="E65">
        <v>2205.48706054687</v>
      </c>
      <c r="F65">
        <v>6032395</v>
      </c>
      <c r="G65">
        <v>0</v>
      </c>
      <c r="H65">
        <v>0</v>
      </c>
    </row>
    <row r="66" spans="1:8" x14ac:dyDescent="0.25">
      <c r="A66">
        <v>2250.25</v>
      </c>
      <c r="B66">
        <v>2296</v>
      </c>
      <c r="C66">
        <v>2200</v>
      </c>
      <c r="D66">
        <v>2258.85009765625</v>
      </c>
      <c r="E66">
        <v>2217.90771484375</v>
      </c>
      <c r="F66">
        <v>11133430</v>
      </c>
      <c r="G66">
        <v>0</v>
      </c>
      <c r="H66">
        <v>0</v>
      </c>
    </row>
    <row r="67" spans="1:8" x14ac:dyDescent="0.25">
      <c r="A67">
        <v>2258.85009765625</v>
      </c>
      <c r="B67">
        <v>2284.64990234375</v>
      </c>
      <c r="C67">
        <v>2190.05004882812</v>
      </c>
      <c r="D67">
        <v>2244.55004882812</v>
      </c>
      <c r="E67">
        <v>2203.86694335937</v>
      </c>
      <c r="F67">
        <v>6277769</v>
      </c>
      <c r="G67">
        <v>0</v>
      </c>
      <c r="H67">
        <v>0</v>
      </c>
    </row>
    <row r="68" spans="1:8" x14ac:dyDescent="0.25">
      <c r="A68">
        <v>2150</v>
      </c>
      <c r="B68">
        <v>2394.85009765625</v>
      </c>
      <c r="C68">
        <v>2150</v>
      </c>
      <c r="D68">
        <v>2366.14990234375</v>
      </c>
      <c r="E68">
        <v>2323.2626953125</v>
      </c>
      <c r="F68">
        <v>13035231</v>
      </c>
      <c r="G68">
        <v>0</v>
      </c>
      <c r="H68">
        <v>0</v>
      </c>
    </row>
    <row r="69" spans="1:8" x14ac:dyDescent="0.25">
      <c r="A69">
        <v>2366.14990234375</v>
      </c>
      <c r="B69">
        <v>2400</v>
      </c>
      <c r="C69">
        <v>2343.10009765625</v>
      </c>
      <c r="D69">
        <v>2375</v>
      </c>
      <c r="E69">
        <v>2331.95263671875</v>
      </c>
      <c r="F69">
        <v>6137160</v>
      </c>
      <c r="G69">
        <v>0</v>
      </c>
      <c r="H69">
        <v>0</v>
      </c>
    </row>
    <row r="70" spans="1:8" x14ac:dyDescent="0.25">
      <c r="A70">
        <v>2368.10009765625</v>
      </c>
      <c r="B70">
        <v>2487.39990234375</v>
      </c>
      <c r="C70">
        <v>2294.39990234375</v>
      </c>
      <c r="D70">
        <v>2332.19995117187</v>
      </c>
      <c r="E70">
        <v>2289.92822265625</v>
      </c>
      <c r="F70">
        <v>15982130</v>
      </c>
      <c r="G70">
        <v>0</v>
      </c>
      <c r="H70">
        <v>0</v>
      </c>
    </row>
    <row r="71" spans="1:8" x14ac:dyDescent="0.25">
      <c r="A71">
        <v>2345</v>
      </c>
      <c r="B71">
        <v>2352.5</v>
      </c>
      <c r="C71">
        <v>2310</v>
      </c>
      <c r="D71">
        <v>2318.60009765625</v>
      </c>
      <c r="E71">
        <v>2276.57495117187</v>
      </c>
      <c r="F71">
        <v>6960138</v>
      </c>
      <c r="G71">
        <v>0</v>
      </c>
      <c r="H71">
        <v>0</v>
      </c>
    </row>
    <row r="72" spans="1:8" x14ac:dyDescent="0.25">
      <c r="A72">
        <v>2324.10009765625</v>
      </c>
      <c r="B72">
        <v>2390.10009765625</v>
      </c>
      <c r="C72">
        <v>2302.30004882812</v>
      </c>
      <c r="D72">
        <v>2332.89990234375</v>
      </c>
      <c r="E72">
        <v>2290.61547851562</v>
      </c>
      <c r="F72">
        <v>9701386</v>
      </c>
      <c r="G72">
        <v>0</v>
      </c>
      <c r="H72">
        <v>0</v>
      </c>
    </row>
    <row r="73" spans="1:8" x14ac:dyDescent="0.25">
      <c r="A73">
        <v>2360</v>
      </c>
      <c r="B73">
        <v>2398</v>
      </c>
      <c r="C73">
        <v>2338.5</v>
      </c>
      <c r="D73">
        <v>2381.39990234375</v>
      </c>
      <c r="E73">
        <v>2338.236328125</v>
      </c>
      <c r="F73">
        <v>9482330</v>
      </c>
      <c r="G73">
        <v>0</v>
      </c>
      <c r="H73">
        <v>0</v>
      </c>
    </row>
    <row r="74" spans="1:8" x14ac:dyDescent="0.25">
      <c r="A74">
        <v>2375</v>
      </c>
      <c r="B74">
        <v>2405</v>
      </c>
      <c r="C74">
        <v>2313.10009765625</v>
      </c>
      <c r="D74">
        <v>2359.19995117187</v>
      </c>
      <c r="E74">
        <v>2316.43872070312</v>
      </c>
      <c r="F74">
        <v>7392588</v>
      </c>
      <c r="G74">
        <v>0</v>
      </c>
      <c r="H74">
        <v>0</v>
      </c>
    </row>
    <row r="75" spans="1:8" x14ac:dyDescent="0.25">
      <c r="A75">
        <v>2368</v>
      </c>
      <c r="B75">
        <v>2409.5</v>
      </c>
      <c r="C75">
        <v>2343.5</v>
      </c>
      <c r="D75">
        <v>2348.30004882812</v>
      </c>
      <c r="E75">
        <v>2305.73657226562</v>
      </c>
      <c r="F75">
        <v>8055560</v>
      </c>
      <c r="G75">
        <v>0</v>
      </c>
      <c r="H75">
        <v>0</v>
      </c>
    </row>
    <row r="76" spans="1:8" x14ac:dyDescent="0.25">
      <c r="A76">
        <v>2347.89990234375</v>
      </c>
      <c r="B76">
        <v>2396.5</v>
      </c>
      <c r="C76">
        <v>2342.10009765625</v>
      </c>
      <c r="D76">
        <v>2389.80004882812</v>
      </c>
      <c r="E76">
        <v>2346.484375</v>
      </c>
      <c r="F76">
        <v>8895480</v>
      </c>
      <c r="G76">
        <v>0</v>
      </c>
      <c r="H76">
        <v>0</v>
      </c>
    </row>
    <row r="77" spans="1:8" x14ac:dyDescent="0.25">
      <c r="A77">
        <v>2394</v>
      </c>
      <c r="B77">
        <v>2402.89990234375</v>
      </c>
      <c r="C77">
        <v>2302</v>
      </c>
      <c r="D77">
        <v>2319</v>
      </c>
      <c r="E77">
        <v>2276.96752929687</v>
      </c>
      <c r="F77">
        <v>10130377</v>
      </c>
      <c r="G77">
        <v>0</v>
      </c>
      <c r="H77">
        <v>0</v>
      </c>
    </row>
    <row r="78" spans="1:8" x14ac:dyDescent="0.25">
      <c r="A78">
        <v>2320</v>
      </c>
      <c r="B78">
        <v>2336.60009765625</v>
      </c>
      <c r="C78">
        <v>2285.5</v>
      </c>
      <c r="D78">
        <v>2306.19995117187</v>
      </c>
      <c r="E78">
        <v>2264.39965820312</v>
      </c>
      <c r="F78">
        <v>8181557</v>
      </c>
      <c r="G78">
        <v>0</v>
      </c>
      <c r="H78">
        <v>0</v>
      </c>
    </row>
    <row r="79" spans="1:8" x14ac:dyDescent="0.25">
      <c r="A79">
        <v>2283.39990234375</v>
      </c>
      <c r="B79">
        <v>2310.5</v>
      </c>
      <c r="C79">
        <v>2258.69995117187</v>
      </c>
      <c r="D79">
        <v>2306.89990234375</v>
      </c>
      <c r="E79">
        <v>2265.08666992187</v>
      </c>
      <c r="F79">
        <v>7256340</v>
      </c>
      <c r="G79">
        <v>24</v>
      </c>
      <c r="H79">
        <v>0</v>
      </c>
    </row>
    <row r="80" spans="1:8" x14ac:dyDescent="0.25">
      <c r="A80">
        <v>2309.89990234375</v>
      </c>
      <c r="B80">
        <v>2341.39990234375</v>
      </c>
      <c r="C80">
        <v>2286.60009765625</v>
      </c>
      <c r="D80">
        <v>2339.30004882812</v>
      </c>
      <c r="E80">
        <v>2321.05419921875</v>
      </c>
      <c r="F80">
        <v>5594087</v>
      </c>
      <c r="G80">
        <v>0</v>
      </c>
      <c r="H80">
        <v>0</v>
      </c>
    </row>
    <row r="81" spans="1:8" x14ac:dyDescent="0.25">
      <c r="A81">
        <v>2341</v>
      </c>
      <c r="B81">
        <v>2530</v>
      </c>
      <c r="C81">
        <v>2341</v>
      </c>
      <c r="D81">
        <v>2519.60009765625</v>
      </c>
      <c r="E81">
        <v>2499.94799804687</v>
      </c>
      <c r="F81">
        <v>14210249</v>
      </c>
      <c r="G81">
        <v>0</v>
      </c>
      <c r="H81">
        <v>0</v>
      </c>
    </row>
    <row r="82" spans="1:8" x14ac:dyDescent="0.25">
      <c r="A82">
        <v>2500</v>
      </c>
      <c r="B82">
        <v>2532.89990234375</v>
      </c>
      <c r="C82">
        <v>2481.5</v>
      </c>
      <c r="D82">
        <v>2489.60009765625</v>
      </c>
      <c r="E82">
        <v>2470.18188476562</v>
      </c>
      <c r="F82">
        <v>6990971</v>
      </c>
      <c r="G82">
        <v>0</v>
      </c>
      <c r="H82">
        <v>0</v>
      </c>
    </row>
    <row r="83" spans="1:8" x14ac:dyDescent="0.25">
      <c r="A83">
        <v>2490.89990234375</v>
      </c>
      <c r="B83">
        <v>2493.60009765625</v>
      </c>
      <c r="C83">
        <v>2405.39990234375</v>
      </c>
      <c r="D83">
        <v>2415.39990234375</v>
      </c>
      <c r="E83">
        <v>2396.560546875</v>
      </c>
      <c r="F83">
        <v>4815759</v>
      </c>
      <c r="G83">
        <v>0</v>
      </c>
      <c r="H83">
        <v>0</v>
      </c>
    </row>
    <row r="84" spans="1:8" x14ac:dyDescent="0.25">
      <c r="A84">
        <v>2415.39990234375</v>
      </c>
      <c r="B84">
        <v>2727.5</v>
      </c>
      <c r="C84">
        <v>2398.5</v>
      </c>
      <c r="D84">
        <v>2553.69995117187</v>
      </c>
      <c r="E84">
        <v>2533.78198242187</v>
      </c>
      <c r="F84">
        <v>12709583</v>
      </c>
      <c r="G84">
        <v>0</v>
      </c>
      <c r="H84">
        <v>0</v>
      </c>
    </row>
    <row r="85" spans="1:8" x14ac:dyDescent="0.25">
      <c r="A85">
        <v>2547</v>
      </c>
      <c r="B85">
        <v>2583.19995117187</v>
      </c>
      <c r="C85">
        <v>2486.60009765625</v>
      </c>
      <c r="D85">
        <v>2498.60009765625</v>
      </c>
      <c r="E85">
        <v>2479.11181640625</v>
      </c>
      <c r="F85">
        <v>4621821</v>
      </c>
      <c r="G85">
        <v>0</v>
      </c>
      <c r="H85">
        <v>0</v>
      </c>
    </row>
    <row r="86" spans="1:8" x14ac:dyDescent="0.25">
      <c r="A86">
        <v>2490.10009765625</v>
      </c>
      <c r="B86">
        <v>2536.60009765625</v>
      </c>
      <c r="C86">
        <v>2473.19995117187</v>
      </c>
      <c r="D86">
        <v>2480.60009765625</v>
      </c>
      <c r="E86">
        <v>2461.25219726562</v>
      </c>
      <c r="F86">
        <v>4472812</v>
      </c>
      <c r="G86">
        <v>0</v>
      </c>
      <c r="H86">
        <v>0</v>
      </c>
    </row>
    <row r="87" spans="1:8" x14ac:dyDescent="0.25">
      <c r="A87">
        <v>2539</v>
      </c>
      <c r="B87">
        <v>2680</v>
      </c>
      <c r="C87">
        <v>2521.30004882812</v>
      </c>
      <c r="D87">
        <v>2629.89990234375</v>
      </c>
      <c r="E87">
        <v>2609.38745117187</v>
      </c>
      <c r="F87">
        <v>11105938</v>
      </c>
      <c r="G87">
        <v>0</v>
      </c>
      <c r="H87">
        <v>0</v>
      </c>
    </row>
    <row r="88" spans="1:8" x14ac:dyDescent="0.25">
      <c r="A88">
        <v>2643</v>
      </c>
      <c r="B88">
        <v>2748</v>
      </c>
      <c r="C88">
        <v>2615.19995117187</v>
      </c>
      <c r="D88">
        <v>2659.80004882812</v>
      </c>
      <c r="E88">
        <v>2639.05444335937</v>
      </c>
      <c r="F88">
        <v>10187762</v>
      </c>
      <c r="G88">
        <v>0</v>
      </c>
      <c r="H88">
        <v>0</v>
      </c>
    </row>
    <row r="89" spans="1:8" x14ac:dyDescent="0.25">
      <c r="A89">
        <v>2659.80004882812</v>
      </c>
      <c r="B89">
        <v>2750</v>
      </c>
      <c r="C89">
        <v>2623.80004882812</v>
      </c>
      <c r="D89">
        <v>2633.39990234375</v>
      </c>
      <c r="E89">
        <v>2612.86010742187</v>
      </c>
      <c r="F89">
        <v>7072084</v>
      </c>
      <c r="G89">
        <v>0</v>
      </c>
      <c r="H89">
        <v>0</v>
      </c>
    </row>
    <row r="90" spans="1:8" x14ac:dyDescent="0.25">
      <c r="A90">
        <v>2630</v>
      </c>
      <c r="B90">
        <v>2657.69995117187</v>
      </c>
      <c r="C90">
        <v>2569</v>
      </c>
      <c r="D90">
        <v>2580.5</v>
      </c>
      <c r="E90">
        <v>2560.37280273437</v>
      </c>
      <c r="F90">
        <v>6126939</v>
      </c>
      <c r="G90">
        <v>0</v>
      </c>
      <c r="H90">
        <v>0</v>
      </c>
    </row>
    <row r="91" spans="1:8" x14ac:dyDescent="0.25">
      <c r="A91">
        <v>2580.5</v>
      </c>
      <c r="B91">
        <v>2609.89990234375</v>
      </c>
      <c r="C91">
        <v>2554.80004882812</v>
      </c>
      <c r="D91">
        <v>2559.60009765625</v>
      </c>
      <c r="E91">
        <v>2539.63598632812</v>
      </c>
      <c r="F91">
        <v>6528781</v>
      </c>
      <c r="G91">
        <v>0</v>
      </c>
      <c r="H91">
        <v>0</v>
      </c>
    </row>
    <row r="92" spans="1:8" x14ac:dyDescent="0.25">
      <c r="A92">
        <v>2569</v>
      </c>
      <c r="B92">
        <v>2587.19995117187</v>
      </c>
      <c r="C92">
        <v>2499.39990234375</v>
      </c>
      <c r="D92">
        <v>2511.80004882812</v>
      </c>
      <c r="E92">
        <v>2492.20874023437</v>
      </c>
      <c r="F92">
        <v>6997386</v>
      </c>
      <c r="G92">
        <v>0</v>
      </c>
      <c r="H92">
        <v>0</v>
      </c>
    </row>
    <row r="93" spans="1:8" x14ac:dyDescent="0.25">
      <c r="A93">
        <v>2495</v>
      </c>
      <c r="B93">
        <v>2550</v>
      </c>
      <c r="C93">
        <v>2443</v>
      </c>
      <c r="D93">
        <v>2544.89990234375</v>
      </c>
      <c r="E93">
        <v>2525.05053710937</v>
      </c>
      <c r="F93">
        <v>6808154</v>
      </c>
      <c r="G93">
        <v>0</v>
      </c>
      <c r="H93">
        <v>0</v>
      </c>
    </row>
    <row r="94" spans="1:8" x14ac:dyDescent="0.25">
      <c r="A94">
        <v>2535.19995117187</v>
      </c>
      <c r="B94">
        <v>2559.39990234375</v>
      </c>
      <c r="C94">
        <v>2486.10009765625</v>
      </c>
      <c r="D94">
        <v>2528.89990234375</v>
      </c>
      <c r="E94">
        <v>2509.17529296875</v>
      </c>
      <c r="F94">
        <v>5613849</v>
      </c>
      <c r="G94">
        <v>0</v>
      </c>
      <c r="H94">
        <v>0</v>
      </c>
    </row>
    <row r="95" spans="1:8" x14ac:dyDescent="0.25">
      <c r="A95">
        <v>2519.19995117187</v>
      </c>
      <c r="B95">
        <v>2615</v>
      </c>
      <c r="C95">
        <v>2482.30004882812</v>
      </c>
      <c r="D95">
        <v>2603.69995117187</v>
      </c>
      <c r="E95">
        <v>2583.39184570312</v>
      </c>
      <c r="F95">
        <v>6954173</v>
      </c>
      <c r="G95">
        <v>0</v>
      </c>
      <c r="H95">
        <v>0</v>
      </c>
    </row>
    <row r="96" spans="1:8" x14ac:dyDescent="0.25">
      <c r="A96">
        <v>2609</v>
      </c>
      <c r="B96">
        <v>2667.19995117187</v>
      </c>
      <c r="C96">
        <v>2474.5</v>
      </c>
      <c r="D96">
        <v>2516.39990234375</v>
      </c>
      <c r="E96">
        <v>2496.77270507812</v>
      </c>
      <c r="F96">
        <v>7591049</v>
      </c>
      <c r="G96">
        <v>0</v>
      </c>
      <c r="H96">
        <v>0</v>
      </c>
    </row>
    <row r="97" spans="1:8" x14ac:dyDescent="0.25">
      <c r="A97">
        <v>2516.39990234375</v>
      </c>
      <c r="B97">
        <v>2526</v>
      </c>
      <c r="C97">
        <v>2452.89990234375</v>
      </c>
      <c r="D97">
        <v>2465.5</v>
      </c>
      <c r="E97">
        <v>2446.26977539062</v>
      </c>
      <c r="F97">
        <v>8890519</v>
      </c>
      <c r="G97">
        <v>0</v>
      </c>
      <c r="H97">
        <v>0</v>
      </c>
    </row>
    <row r="98" spans="1:8" x14ac:dyDescent="0.25">
      <c r="A98">
        <v>2456.10009765625</v>
      </c>
      <c r="B98">
        <v>2474.89990234375</v>
      </c>
      <c r="C98">
        <v>2400.60009765625</v>
      </c>
      <c r="D98">
        <v>2414</v>
      </c>
      <c r="E98">
        <v>2395.17163085937</v>
      </c>
      <c r="F98">
        <v>4447925</v>
      </c>
      <c r="G98">
        <v>19</v>
      </c>
      <c r="H98">
        <v>0</v>
      </c>
    </row>
    <row r="99" spans="1:8" x14ac:dyDescent="0.25">
      <c r="A99">
        <v>2405</v>
      </c>
      <c r="B99">
        <v>2434.80004882812</v>
      </c>
      <c r="C99">
        <v>2392</v>
      </c>
      <c r="D99">
        <v>2427.69995117187</v>
      </c>
      <c r="E99">
        <v>2427.69995117187</v>
      </c>
      <c r="F99">
        <v>6115816</v>
      </c>
      <c r="G99">
        <v>0</v>
      </c>
      <c r="H99">
        <v>0</v>
      </c>
    </row>
    <row r="100" spans="1:8" x14ac:dyDescent="0.25">
      <c r="A100">
        <v>2431.39990234375</v>
      </c>
      <c r="B100">
        <v>2459</v>
      </c>
      <c r="C100">
        <v>2401.89990234375</v>
      </c>
      <c r="D100">
        <v>2433.69995117187</v>
      </c>
      <c r="E100">
        <v>2433.69995117187</v>
      </c>
      <c r="F100">
        <v>6851856</v>
      </c>
      <c r="G100">
        <v>0</v>
      </c>
      <c r="H100">
        <v>0</v>
      </c>
    </row>
    <row r="101" spans="1:8" x14ac:dyDescent="0.25">
      <c r="A101">
        <v>2441.89990234375</v>
      </c>
      <c r="B101">
        <v>2470</v>
      </c>
      <c r="C101">
        <v>2406</v>
      </c>
      <c r="D101">
        <v>2466.60009765625</v>
      </c>
      <c r="E101">
        <v>2466.60009765625</v>
      </c>
      <c r="F101">
        <v>9421155</v>
      </c>
      <c r="G101">
        <v>0</v>
      </c>
      <c r="H101">
        <v>0</v>
      </c>
    </row>
    <row r="102" spans="1:8" x14ac:dyDescent="0.25">
      <c r="A102">
        <v>2466.60009765625</v>
      </c>
      <c r="B102">
        <v>2488</v>
      </c>
      <c r="C102">
        <v>2286.69995117187</v>
      </c>
      <c r="D102">
        <v>2338.60009765625</v>
      </c>
      <c r="E102">
        <v>2338.60009765625</v>
      </c>
      <c r="F102">
        <v>14236190</v>
      </c>
      <c r="G102">
        <v>0</v>
      </c>
      <c r="H102">
        <v>0</v>
      </c>
    </row>
    <row r="103" spans="1:8" x14ac:dyDescent="0.25">
      <c r="A103">
        <v>2350.10009765625</v>
      </c>
      <c r="B103">
        <v>2355.10009765625</v>
      </c>
      <c r="C103">
        <v>2244.69995117187</v>
      </c>
      <c r="D103">
        <v>2260.60009765625</v>
      </c>
      <c r="E103">
        <v>2260.60009765625</v>
      </c>
      <c r="F103">
        <v>10538078</v>
      </c>
      <c r="G103">
        <v>0</v>
      </c>
      <c r="H103">
        <v>0</v>
      </c>
    </row>
    <row r="104" spans="1:8" x14ac:dyDescent="0.25">
      <c r="A104">
        <v>2260.60009765625</v>
      </c>
      <c r="B104">
        <v>2302.69995117187</v>
      </c>
      <c r="C104">
        <v>2252</v>
      </c>
      <c r="D104">
        <v>2280</v>
      </c>
      <c r="E104">
        <v>2280</v>
      </c>
      <c r="F104">
        <v>5632766</v>
      </c>
      <c r="G104">
        <v>0</v>
      </c>
      <c r="H104">
        <v>0</v>
      </c>
    </row>
    <row r="105" spans="1:8" x14ac:dyDescent="0.25">
      <c r="A105">
        <v>2280</v>
      </c>
      <c r="B105">
        <v>2310</v>
      </c>
      <c r="C105">
        <v>2275</v>
      </c>
      <c r="D105">
        <v>2285.39990234375</v>
      </c>
      <c r="E105">
        <v>2285.39990234375</v>
      </c>
      <c r="F105">
        <v>2972580</v>
      </c>
      <c r="G105">
        <v>0</v>
      </c>
      <c r="H105">
        <v>0</v>
      </c>
    </row>
    <row r="106" spans="1:8" x14ac:dyDescent="0.25">
      <c r="A106">
        <v>2288.89990234375</v>
      </c>
      <c r="B106">
        <v>2326</v>
      </c>
      <c r="C106">
        <v>2280</v>
      </c>
      <c r="D106">
        <v>2323</v>
      </c>
      <c r="E106">
        <v>2323</v>
      </c>
      <c r="F106">
        <v>4726381</v>
      </c>
      <c r="G106">
        <v>0</v>
      </c>
      <c r="H10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3C85E-549D-423B-BF3E-309190D08A26}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9DF78-79DD-4B10-8AA5-5E18763421B0}">
  <sheetPr>
    <tabColor rgb="FFFF0000"/>
  </sheetPr>
  <dimension ref="A1:K93"/>
  <sheetViews>
    <sheetView topLeftCell="A13" zoomScale="61" workbookViewId="0">
      <selection activeCell="B1" sqref="B1"/>
    </sheetView>
  </sheetViews>
  <sheetFormatPr defaultColWidth="8.7109375" defaultRowHeight="15" x14ac:dyDescent="0.25"/>
  <cols>
    <col min="1" max="1" width="27.7109375" style="2" bestFit="1" customWidth="1"/>
    <col min="2" max="11" width="13.42578125" style="2" bestFit="1" customWidth="1"/>
    <col min="12" max="16384" width="8.7109375" style="2"/>
  </cols>
  <sheetData>
    <row r="1" spans="1:11" s="1" customFormat="1" x14ac:dyDescent="0.25">
      <c r="A1" s="1" t="s">
        <v>1</v>
      </c>
      <c r="B1" s="1" t="s">
        <v>2</v>
      </c>
      <c r="E1" s="75" t="str">
        <f>IF(B2&lt;&gt;B3, "A NEW VERSION OF THE WORKSHEET IS AVAILABLE", "")</f>
        <v/>
      </c>
      <c r="F1" s="75"/>
      <c r="G1" s="75"/>
      <c r="H1" s="75"/>
      <c r="I1" s="75"/>
      <c r="J1" s="75"/>
      <c r="K1" s="75"/>
    </row>
    <row r="2" spans="1:11" x14ac:dyDescent="0.25">
      <c r="A2" s="1" t="s">
        <v>3</v>
      </c>
      <c r="B2" s="2">
        <v>2.1</v>
      </c>
      <c r="E2" s="76" t="s">
        <v>4</v>
      </c>
      <c r="F2" s="76"/>
      <c r="G2" s="76"/>
      <c r="H2" s="76"/>
      <c r="I2" s="76"/>
      <c r="J2" s="76"/>
      <c r="K2" s="76"/>
    </row>
    <row r="3" spans="1:11" x14ac:dyDescent="0.25">
      <c r="A3" s="1" t="s">
        <v>5</v>
      </c>
      <c r="B3" s="2">
        <v>2.1</v>
      </c>
    </row>
    <row r="4" spans="1:11" x14ac:dyDescent="0.25">
      <c r="A4" s="1"/>
    </row>
    <row r="5" spans="1:11" x14ac:dyDescent="0.25">
      <c r="A5" s="1" t="s">
        <v>6</v>
      </c>
    </row>
    <row r="6" spans="1:11" x14ac:dyDescent="0.25">
      <c r="A6" s="2" t="s">
        <v>7</v>
      </c>
      <c r="B6" s="2">
        <f>IF(B9&gt;0, B9/B8, 0)</f>
        <v>1.0140091067705008</v>
      </c>
    </row>
    <row r="7" spans="1:11" x14ac:dyDescent="0.25">
      <c r="A7" s="2" t="s">
        <v>8</v>
      </c>
      <c r="B7">
        <v>10</v>
      </c>
    </row>
    <row r="8" spans="1:11" x14ac:dyDescent="0.25">
      <c r="A8" s="2" t="s">
        <v>9</v>
      </c>
      <c r="B8">
        <v>2349.9</v>
      </c>
    </row>
    <row r="9" spans="1:11" x14ac:dyDescent="0.25">
      <c r="A9" s="2" t="s">
        <v>10</v>
      </c>
      <c r="B9">
        <v>2382.8200000000002</v>
      </c>
    </row>
    <row r="15" spans="1:11" x14ac:dyDescent="0.25">
      <c r="A15" s="1" t="s">
        <v>11</v>
      </c>
    </row>
    <row r="16" spans="1:11" s="5" customFormat="1" x14ac:dyDescent="0.25">
      <c r="A16" s="3" t="s">
        <v>12</v>
      </c>
      <c r="B16" s="4">
        <v>42460</v>
      </c>
      <c r="C16" s="4">
        <v>42825</v>
      </c>
      <c r="D16" s="4">
        <v>43190</v>
      </c>
      <c r="E16" s="4">
        <v>43555</v>
      </c>
      <c r="F16" s="4">
        <v>43921</v>
      </c>
      <c r="G16" s="4">
        <v>44286</v>
      </c>
      <c r="H16" s="4">
        <v>44651</v>
      </c>
      <c r="I16" s="4">
        <v>45016</v>
      </c>
      <c r="J16" s="4">
        <v>45382</v>
      </c>
      <c r="K16" s="4">
        <v>45747</v>
      </c>
    </row>
    <row r="17" spans="1:11" s="6" customFormat="1" x14ac:dyDescent="0.25">
      <c r="A17" s="6" t="s">
        <v>13</v>
      </c>
      <c r="B17">
        <v>672.81</v>
      </c>
      <c r="C17">
        <v>701.78</v>
      </c>
      <c r="D17">
        <v>767.8</v>
      </c>
      <c r="E17">
        <v>815.88</v>
      </c>
      <c r="F17">
        <v>848.64</v>
      </c>
      <c r="G17">
        <v>938.94</v>
      </c>
      <c r="H17">
        <v>1156.29</v>
      </c>
      <c r="I17">
        <v>1246.29</v>
      </c>
      <c r="J17">
        <v>989.07</v>
      </c>
      <c r="K17">
        <v>794.23</v>
      </c>
    </row>
    <row r="18" spans="1:11" s="6" customFormat="1" x14ac:dyDescent="0.25">
      <c r="A18" s="2" t="s">
        <v>14</v>
      </c>
      <c r="B18">
        <v>377.43</v>
      </c>
      <c r="C18">
        <v>431.96</v>
      </c>
      <c r="D18">
        <v>430.28</v>
      </c>
      <c r="E18">
        <v>512.89</v>
      </c>
      <c r="F18">
        <v>593.92999999999995</v>
      </c>
      <c r="G18">
        <v>552.97</v>
      </c>
      <c r="H18">
        <v>746.37</v>
      </c>
      <c r="I18">
        <v>750.74</v>
      </c>
      <c r="J18">
        <v>598.03</v>
      </c>
      <c r="K18">
        <v>422.58</v>
      </c>
    </row>
    <row r="19" spans="1:11" s="6" customFormat="1" x14ac:dyDescent="0.25">
      <c r="A19" s="2" t="s">
        <v>15</v>
      </c>
      <c r="B19">
        <v>-21.2</v>
      </c>
      <c r="C19">
        <v>15.93</v>
      </c>
      <c r="D19">
        <v>-25.54</v>
      </c>
      <c r="E19">
        <v>12.08</v>
      </c>
      <c r="F19">
        <v>91.62</v>
      </c>
      <c r="G19">
        <v>-55.04</v>
      </c>
      <c r="H19">
        <v>14.4</v>
      </c>
      <c r="I19">
        <v>0.28999999999999998</v>
      </c>
      <c r="J19">
        <v>-2.74</v>
      </c>
      <c r="K19">
        <v>-21.41</v>
      </c>
    </row>
    <row r="20" spans="1:11" s="6" customFormat="1" x14ac:dyDescent="0.25">
      <c r="A20" s="2" t="s">
        <v>16</v>
      </c>
      <c r="B20">
        <v>6.26</v>
      </c>
      <c r="C20">
        <v>5.24</v>
      </c>
      <c r="D20">
        <v>5.94</v>
      </c>
      <c r="E20">
        <v>7.31</v>
      </c>
      <c r="F20">
        <v>8.19</v>
      </c>
      <c r="G20">
        <v>6.8</v>
      </c>
      <c r="H20">
        <v>9.41</v>
      </c>
      <c r="I20">
        <v>11.81</v>
      </c>
      <c r="J20">
        <v>8.75</v>
      </c>
      <c r="K20">
        <v>7.87</v>
      </c>
    </row>
    <row r="21" spans="1:11" s="6" customFormat="1" x14ac:dyDescent="0.25">
      <c r="A21" s="2" t="s">
        <v>17</v>
      </c>
      <c r="B21">
        <v>4.54</v>
      </c>
      <c r="C21">
        <v>10.23</v>
      </c>
      <c r="D21">
        <v>10.01</v>
      </c>
      <c r="E21">
        <v>11.2</v>
      </c>
      <c r="F21">
        <v>13.88</v>
      </c>
      <c r="G21">
        <v>11.5</v>
      </c>
      <c r="H21">
        <v>12.59</v>
      </c>
      <c r="I21">
        <v>16.59</v>
      </c>
      <c r="J21">
        <v>13.84</v>
      </c>
      <c r="K21">
        <v>12.19</v>
      </c>
    </row>
    <row r="22" spans="1:11" s="6" customFormat="1" x14ac:dyDescent="0.25">
      <c r="A22" s="2" t="s">
        <v>18</v>
      </c>
      <c r="B22">
        <v>65.62</v>
      </c>
      <c r="C22">
        <v>72.44</v>
      </c>
      <c r="D22">
        <v>86.49</v>
      </c>
      <c r="E22">
        <v>98.46</v>
      </c>
      <c r="F22">
        <v>114.36</v>
      </c>
      <c r="G22">
        <v>107.4</v>
      </c>
      <c r="H22">
        <v>117.4</v>
      </c>
      <c r="I22">
        <v>127.06</v>
      </c>
      <c r="J22">
        <v>128.28</v>
      </c>
      <c r="K22">
        <v>133.66</v>
      </c>
    </row>
    <row r="23" spans="1:11" s="6" customFormat="1" x14ac:dyDescent="0.25">
      <c r="A23" s="2" t="s">
        <v>19</v>
      </c>
      <c r="B23">
        <v>94.14</v>
      </c>
      <c r="C23">
        <v>92.18</v>
      </c>
      <c r="D23">
        <v>96.69</v>
      </c>
      <c r="E23">
        <v>99.47</v>
      </c>
      <c r="F23">
        <v>107.68</v>
      </c>
      <c r="G23">
        <v>120.99</v>
      </c>
      <c r="H23">
        <v>172.6</v>
      </c>
      <c r="I23">
        <v>190.42</v>
      </c>
      <c r="J23">
        <v>127.25</v>
      </c>
      <c r="K23">
        <v>94.29</v>
      </c>
    </row>
    <row r="24" spans="1:11" s="6" customFormat="1" x14ac:dyDescent="0.25">
      <c r="A24" s="2" t="s">
        <v>20</v>
      </c>
      <c r="B24">
        <v>15.15</v>
      </c>
      <c r="C24">
        <v>9.4</v>
      </c>
      <c r="D24">
        <v>10.27</v>
      </c>
      <c r="E24">
        <v>7.78</v>
      </c>
      <c r="F24">
        <v>9.1300000000000008</v>
      </c>
      <c r="G24">
        <v>11.7</v>
      </c>
      <c r="H24">
        <v>9.65</v>
      </c>
      <c r="I24">
        <v>14.8</v>
      </c>
      <c r="J24">
        <v>11.1</v>
      </c>
      <c r="K24">
        <v>14.49</v>
      </c>
    </row>
    <row r="25" spans="1:11" s="6" customFormat="1" x14ac:dyDescent="0.25">
      <c r="A25" s="6" t="s">
        <v>21</v>
      </c>
      <c r="B25">
        <v>11.32</v>
      </c>
      <c r="C25">
        <v>16.170000000000002</v>
      </c>
      <c r="D25">
        <v>14.94</v>
      </c>
      <c r="E25">
        <v>14.16</v>
      </c>
      <c r="F25">
        <v>20.13</v>
      </c>
      <c r="G25">
        <v>14.53</v>
      </c>
      <c r="H25">
        <v>16.84</v>
      </c>
      <c r="I25">
        <v>1.67</v>
      </c>
      <c r="J25">
        <v>45.4</v>
      </c>
      <c r="K25">
        <v>42.28</v>
      </c>
    </row>
    <row r="26" spans="1:11" s="6" customFormat="1" x14ac:dyDescent="0.25">
      <c r="A26" s="6" t="s">
        <v>22</v>
      </c>
      <c r="B26">
        <v>23.82</v>
      </c>
      <c r="C26">
        <v>23.45</v>
      </c>
      <c r="D26">
        <v>22.51</v>
      </c>
      <c r="E26">
        <v>21.13</v>
      </c>
      <c r="F26">
        <v>22.08</v>
      </c>
      <c r="G26">
        <v>20.260000000000002</v>
      </c>
      <c r="H26">
        <v>18.52</v>
      </c>
      <c r="I26">
        <v>20.78</v>
      </c>
      <c r="J26">
        <v>20.22</v>
      </c>
      <c r="K26">
        <v>21.8</v>
      </c>
    </row>
    <row r="27" spans="1:11" s="6" customFormat="1" x14ac:dyDescent="0.25">
      <c r="A27" s="6" t="s">
        <v>23</v>
      </c>
      <c r="B27">
        <v>0.9</v>
      </c>
      <c r="C27">
        <v>0.87</v>
      </c>
      <c r="D27">
        <v>0.67</v>
      </c>
      <c r="E27">
        <v>0.56999999999999995</v>
      </c>
      <c r="F27">
        <v>0.71</v>
      </c>
      <c r="G27">
        <v>0.67</v>
      </c>
      <c r="H27">
        <v>0.93</v>
      </c>
      <c r="I27">
        <v>0.65</v>
      </c>
      <c r="J27">
        <v>0.53</v>
      </c>
      <c r="K27">
        <v>0.52</v>
      </c>
    </row>
    <row r="28" spans="1:11" s="6" customFormat="1" x14ac:dyDescent="0.25">
      <c r="A28" s="6" t="s">
        <v>24</v>
      </c>
      <c r="B28">
        <v>75.069999999999993</v>
      </c>
      <c r="C28">
        <v>88.11</v>
      </c>
      <c r="D28">
        <v>94.34</v>
      </c>
      <c r="E28">
        <v>83.31</v>
      </c>
      <c r="F28">
        <v>90.43</v>
      </c>
      <c r="G28">
        <v>66.14</v>
      </c>
      <c r="H28">
        <v>100.06</v>
      </c>
      <c r="I28">
        <v>115.4</v>
      </c>
      <c r="J28">
        <v>123.73</v>
      </c>
      <c r="K28">
        <v>107.7</v>
      </c>
    </row>
    <row r="29" spans="1:11" s="6" customFormat="1" x14ac:dyDescent="0.25">
      <c r="A29" s="6" t="s">
        <v>25</v>
      </c>
      <c r="B29">
        <v>26.24</v>
      </c>
      <c r="C29">
        <v>30.33</v>
      </c>
      <c r="D29">
        <v>32.93</v>
      </c>
      <c r="E29">
        <v>29.16</v>
      </c>
      <c r="F29">
        <v>23.91</v>
      </c>
      <c r="G29">
        <v>17.47</v>
      </c>
      <c r="H29">
        <v>25.53</v>
      </c>
      <c r="I29">
        <v>30.31</v>
      </c>
      <c r="J29">
        <v>31.52</v>
      </c>
      <c r="K29">
        <v>27.76</v>
      </c>
    </row>
    <row r="30" spans="1:11" s="6" customFormat="1" x14ac:dyDescent="0.25">
      <c r="A30" s="6" t="s">
        <v>26</v>
      </c>
      <c r="B30">
        <v>48.83</v>
      </c>
      <c r="C30">
        <v>57.78</v>
      </c>
      <c r="D30">
        <v>61.41</v>
      </c>
      <c r="E30">
        <v>54.15</v>
      </c>
      <c r="F30">
        <v>66.52</v>
      </c>
      <c r="G30">
        <v>48.67</v>
      </c>
      <c r="H30">
        <v>74.53</v>
      </c>
      <c r="I30">
        <v>85.09</v>
      </c>
      <c r="J30">
        <v>92.21</v>
      </c>
      <c r="K30">
        <v>79.94</v>
      </c>
    </row>
    <row r="31" spans="1:11" s="6" customFormat="1" x14ac:dyDescent="0.25">
      <c r="A31" s="6" t="s">
        <v>27</v>
      </c>
      <c r="B31">
        <v>6.08</v>
      </c>
      <c r="C31">
        <v>7.6</v>
      </c>
      <c r="D31">
        <v>9.1300000000000008</v>
      </c>
      <c r="E31">
        <v>10.14</v>
      </c>
      <c r="F31">
        <v>12.68</v>
      </c>
      <c r="G31">
        <v>10.14</v>
      </c>
      <c r="H31">
        <v>15.21</v>
      </c>
      <c r="I31">
        <v>16.73</v>
      </c>
      <c r="J31">
        <v>17.739999999999998</v>
      </c>
      <c r="K31">
        <v>21.8</v>
      </c>
    </row>
    <row r="32" spans="1:11" s="6" customFormat="1" x14ac:dyDescent="0.25"/>
    <row r="33" spans="1:11" x14ac:dyDescent="0.25">
      <c r="A33" s="6"/>
    </row>
    <row r="34" spans="1:11" x14ac:dyDescent="0.25">
      <c r="A34" s="6"/>
    </row>
    <row r="35" spans="1:11" x14ac:dyDescent="0.25">
      <c r="A35" s="6"/>
    </row>
    <row r="36" spans="1:11" x14ac:dyDescent="0.25">
      <c r="A36" s="6"/>
    </row>
    <row r="37" spans="1:11" x14ac:dyDescent="0.25">
      <c r="A37" s="6"/>
    </row>
    <row r="38" spans="1:11" x14ac:dyDescent="0.25">
      <c r="A38" s="6"/>
    </row>
    <row r="39" spans="1:11" x14ac:dyDescent="0.25">
      <c r="A39" s="6"/>
    </row>
    <row r="40" spans="1:11" x14ac:dyDescent="0.25">
      <c r="A40" s="1" t="s">
        <v>28</v>
      </c>
    </row>
    <row r="41" spans="1:11" s="5" customFormat="1" x14ac:dyDescent="0.25">
      <c r="A41" s="3" t="s">
        <v>12</v>
      </c>
      <c r="B41" s="4">
        <v>45107</v>
      </c>
      <c r="C41" s="4">
        <v>45199</v>
      </c>
      <c r="D41" s="4">
        <v>45291</v>
      </c>
      <c r="E41" s="4">
        <v>45382</v>
      </c>
      <c r="F41" s="4">
        <v>45473</v>
      </c>
      <c r="G41" s="4">
        <v>45565</v>
      </c>
      <c r="H41" s="4">
        <v>45657</v>
      </c>
      <c r="I41" s="4">
        <v>45747</v>
      </c>
      <c r="J41" s="4">
        <v>45838</v>
      </c>
      <c r="K41" s="4">
        <v>45930</v>
      </c>
    </row>
    <row r="42" spans="1:11" s="6" customFormat="1" x14ac:dyDescent="0.25">
      <c r="A42" s="6" t="s">
        <v>13</v>
      </c>
      <c r="B42">
        <v>209.96</v>
      </c>
      <c r="C42">
        <v>284.57</v>
      </c>
      <c r="D42">
        <v>263.38</v>
      </c>
      <c r="E42">
        <v>231.16</v>
      </c>
      <c r="F42">
        <v>144.16999999999999</v>
      </c>
      <c r="G42">
        <v>177.2</v>
      </c>
      <c r="H42">
        <v>204.18</v>
      </c>
      <c r="I42">
        <v>268.68</v>
      </c>
      <c r="J42">
        <v>154.91</v>
      </c>
      <c r="K42">
        <v>175.61</v>
      </c>
    </row>
    <row r="43" spans="1:11" s="6" customFormat="1" x14ac:dyDescent="0.25">
      <c r="A43" s="6" t="s">
        <v>29</v>
      </c>
      <c r="B43">
        <v>189.65</v>
      </c>
      <c r="C43">
        <v>249.34</v>
      </c>
      <c r="D43">
        <v>230.38</v>
      </c>
      <c r="E43">
        <v>220.71</v>
      </c>
      <c r="F43">
        <v>127.69</v>
      </c>
      <c r="G43">
        <v>170.2</v>
      </c>
      <c r="H43">
        <v>183.38</v>
      </c>
      <c r="I43">
        <v>225.28</v>
      </c>
      <c r="J43">
        <v>146.47</v>
      </c>
      <c r="K43">
        <v>164.28</v>
      </c>
    </row>
    <row r="44" spans="1:11" s="6" customFormat="1" x14ac:dyDescent="0.25">
      <c r="A44" s="6" t="s">
        <v>21</v>
      </c>
      <c r="B44">
        <v>7.57</v>
      </c>
      <c r="C44">
        <v>11.93</v>
      </c>
      <c r="D44">
        <v>10.01</v>
      </c>
      <c r="E44">
        <v>15.89</v>
      </c>
      <c r="F44">
        <v>10.73</v>
      </c>
      <c r="G44">
        <v>9.89</v>
      </c>
      <c r="H44">
        <v>10.4</v>
      </c>
      <c r="I44">
        <v>11.26</v>
      </c>
      <c r="J44">
        <v>9.92</v>
      </c>
      <c r="K44">
        <v>9.48</v>
      </c>
    </row>
    <row r="45" spans="1:11" s="6" customFormat="1" x14ac:dyDescent="0.25">
      <c r="A45" s="6" t="s">
        <v>22</v>
      </c>
      <c r="B45">
        <v>5.01</v>
      </c>
      <c r="C45">
        <v>4.9800000000000004</v>
      </c>
      <c r="D45">
        <v>4.97</v>
      </c>
      <c r="E45">
        <v>5.26</v>
      </c>
      <c r="F45">
        <v>5.34</v>
      </c>
      <c r="G45">
        <v>5.36</v>
      </c>
      <c r="H45">
        <v>5.41</v>
      </c>
      <c r="I45">
        <v>5.69</v>
      </c>
      <c r="J45">
        <v>5.53</v>
      </c>
      <c r="K45">
        <v>5.71</v>
      </c>
    </row>
    <row r="46" spans="1:11" s="6" customFormat="1" x14ac:dyDescent="0.25">
      <c r="A46" s="6" t="s">
        <v>23</v>
      </c>
      <c r="B46">
        <v>0.05</v>
      </c>
      <c r="C46">
        <v>0.05</v>
      </c>
      <c r="D46">
        <v>0.05</v>
      </c>
      <c r="E46">
        <v>0.28999999999999998</v>
      </c>
      <c r="F46">
        <v>0.04</v>
      </c>
      <c r="G46">
        <v>0.05</v>
      </c>
      <c r="H46">
        <v>0.05</v>
      </c>
      <c r="I46">
        <v>0.32</v>
      </c>
      <c r="J46">
        <v>0.04</v>
      </c>
      <c r="K46">
        <v>0.03</v>
      </c>
    </row>
    <row r="47" spans="1:11" s="6" customFormat="1" x14ac:dyDescent="0.25">
      <c r="A47" s="6" t="s">
        <v>24</v>
      </c>
      <c r="B47">
        <v>22.82</v>
      </c>
      <c r="C47">
        <v>42.13</v>
      </c>
      <c r="D47">
        <v>37.99</v>
      </c>
      <c r="E47">
        <v>20.79</v>
      </c>
      <c r="F47">
        <v>21.83</v>
      </c>
      <c r="G47">
        <v>11.48</v>
      </c>
      <c r="H47">
        <v>25.74</v>
      </c>
      <c r="I47">
        <v>48.65</v>
      </c>
      <c r="J47">
        <v>12.79</v>
      </c>
      <c r="K47">
        <v>15.07</v>
      </c>
    </row>
    <row r="48" spans="1:11" s="6" customFormat="1" x14ac:dyDescent="0.25">
      <c r="A48" s="6" t="s">
        <v>25</v>
      </c>
      <c r="B48">
        <v>5.92</v>
      </c>
      <c r="C48">
        <v>10.94</v>
      </c>
      <c r="D48">
        <v>9.67</v>
      </c>
      <c r="E48">
        <v>4.99</v>
      </c>
      <c r="F48">
        <v>5.68</v>
      </c>
      <c r="G48">
        <v>2.94</v>
      </c>
      <c r="H48">
        <v>6.65</v>
      </c>
      <c r="I48">
        <v>12.49</v>
      </c>
      <c r="J48">
        <v>3.31</v>
      </c>
      <c r="K48">
        <v>3.9</v>
      </c>
    </row>
    <row r="49" spans="1:11" s="6" customFormat="1" x14ac:dyDescent="0.25">
      <c r="A49" s="6" t="s">
        <v>26</v>
      </c>
      <c r="B49">
        <v>16.899999999999999</v>
      </c>
      <c r="C49">
        <v>31.19</v>
      </c>
      <c r="D49">
        <v>28.32</v>
      </c>
      <c r="E49">
        <v>15.8</v>
      </c>
      <c r="F49">
        <v>16.149999999999999</v>
      </c>
      <c r="G49">
        <v>8.5399999999999991</v>
      </c>
      <c r="H49">
        <v>19.09</v>
      </c>
      <c r="I49">
        <v>36.159999999999997</v>
      </c>
      <c r="J49">
        <v>9.48</v>
      </c>
      <c r="K49">
        <v>11.17</v>
      </c>
    </row>
    <row r="50" spans="1:11" x14ac:dyDescent="0.25">
      <c r="A50" s="6" t="s">
        <v>30</v>
      </c>
      <c r="B50">
        <v>20.309999999999999</v>
      </c>
      <c r="C50">
        <v>35.229999999999997</v>
      </c>
      <c r="D50">
        <v>33</v>
      </c>
      <c r="E50">
        <v>10.45</v>
      </c>
      <c r="F50">
        <v>16.48</v>
      </c>
      <c r="G50">
        <v>7</v>
      </c>
      <c r="H50">
        <v>20.8</v>
      </c>
      <c r="I50">
        <v>43.4</v>
      </c>
      <c r="J50">
        <v>8.44</v>
      </c>
      <c r="K50">
        <v>11.33</v>
      </c>
    </row>
    <row r="51" spans="1:11" x14ac:dyDescent="0.25">
      <c r="A51" s="6"/>
    </row>
    <row r="52" spans="1:11" x14ac:dyDescent="0.25">
      <c r="A52" s="6"/>
    </row>
    <row r="53" spans="1:11" x14ac:dyDescent="0.25">
      <c r="A53" s="6"/>
    </row>
    <row r="54" spans="1:11" x14ac:dyDescent="0.25">
      <c r="A54" s="6"/>
    </row>
    <row r="55" spans="1:11" x14ac:dyDescent="0.25">
      <c r="A55" s="1" t="s">
        <v>31</v>
      </c>
    </row>
    <row r="56" spans="1:11" s="5" customFormat="1" x14ac:dyDescent="0.25">
      <c r="A56" s="3" t="s">
        <v>12</v>
      </c>
      <c r="B56" s="4">
        <v>42460</v>
      </c>
      <c r="C56" s="4">
        <v>42825</v>
      </c>
      <c r="D56" s="4">
        <v>43190</v>
      </c>
      <c r="E56" s="4">
        <v>43555</v>
      </c>
      <c r="F56" s="4">
        <v>43921</v>
      </c>
      <c r="G56" s="4">
        <v>44286</v>
      </c>
      <c r="H56" s="4">
        <v>44651</v>
      </c>
      <c r="I56" s="4">
        <v>45016</v>
      </c>
      <c r="J56" s="4">
        <v>45382</v>
      </c>
      <c r="K56" s="4">
        <v>45747</v>
      </c>
    </row>
    <row r="57" spans="1:11" x14ac:dyDescent="0.25">
      <c r="A57" s="6" t="s">
        <v>32</v>
      </c>
      <c r="B57">
        <v>10.14</v>
      </c>
      <c r="C57">
        <v>10.14</v>
      </c>
      <c r="D57">
        <v>10.14</v>
      </c>
      <c r="E57">
        <v>10.14</v>
      </c>
      <c r="F57">
        <v>10.14</v>
      </c>
      <c r="G57">
        <v>10.14</v>
      </c>
      <c r="H57">
        <v>10.14</v>
      </c>
      <c r="I57">
        <v>10.14</v>
      </c>
      <c r="J57">
        <v>10.14</v>
      </c>
      <c r="K57">
        <v>10.14</v>
      </c>
    </row>
    <row r="58" spans="1:11" x14ac:dyDescent="0.25">
      <c r="A58" s="6" t="s">
        <v>33</v>
      </c>
      <c r="B58">
        <v>356.43</v>
      </c>
      <c r="C58">
        <v>412.37</v>
      </c>
      <c r="D58">
        <v>464.31</v>
      </c>
      <c r="E58">
        <v>506.96</v>
      </c>
      <c r="F58">
        <v>559.47</v>
      </c>
      <c r="G58">
        <v>595.37</v>
      </c>
      <c r="H58">
        <v>659.74</v>
      </c>
      <c r="I58">
        <v>726.6</v>
      </c>
      <c r="J58">
        <v>801.97</v>
      </c>
      <c r="K58">
        <v>853.39</v>
      </c>
    </row>
    <row r="59" spans="1:11" x14ac:dyDescent="0.25">
      <c r="A59" s="6" t="s">
        <v>34</v>
      </c>
      <c r="F59">
        <v>1.19</v>
      </c>
      <c r="G59">
        <v>1.44</v>
      </c>
      <c r="H59">
        <v>1.23</v>
      </c>
      <c r="I59">
        <v>0.81</v>
      </c>
      <c r="J59">
        <v>0.47</v>
      </c>
      <c r="K59">
        <v>0.1</v>
      </c>
    </row>
    <row r="60" spans="1:11" x14ac:dyDescent="0.25">
      <c r="A60" s="6" t="s">
        <v>35</v>
      </c>
      <c r="B60">
        <v>113.36</v>
      </c>
      <c r="C60">
        <v>113.63</v>
      </c>
      <c r="D60">
        <v>124.46</v>
      </c>
      <c r="E60">
        <v>141.28</v>
      </c>
      <c r="F60">
        <v>148.04</v>
      </c>
      <c r="G60">
        <v>186.9</v>
      </c>
      <c r="H60">
        <v>193.57</v>
      </c>
      <c r="I60">
        <v>196.12</v>
      </c>
      <c r="J60">
        <v>184.14</v>
      </c>
      <c r="K60">
        <v>193.95</v>
      </c>
    </row>
    <row r="61" spans="1:11" s="1" customFormat="1" x14ac:dyDescent="0.25">
      <c r="A61" s="1" t="s">
        <v>36</v>
      </c>
      <c r="B61">
        <v>479.93</v>
      </c>
      <c r="C61">
        <v>536.14</v>
      </c>
      <c r="D61">
        <v>598.91</v>
      </c>
      <c r="E61">
        <v>658.38</v>
      </c>
      <c r="F61">
        <v>718.84</v>
      </c>
      <c r="G61">
        <v>793.85</v>
      </c>
      <c r="H61">
        <v>864.68</v>
      </c>
      <c r="I61">
        <v>933.67</v>
      </c>
      <c r="J61">
        <v>996.72</v>
      </c>
      <c r="K61">
        <v>1057.58</v>
      </c>
    </row>
    <row r="62" spans="1:11" x14ac:dyDescent="0.25">
      <c r="A62" s="6" t="s">
        <v>37</v>
      </c>
      <c r="B62">
        <v>112.46</v>
      </c>
      <c r="C62">
        <v>106.73</v>
      </c>
      <c r="D62">
        <v>100.73</v>
      </c>
      <c r="E62">
        <v>94.55</v>
      </c>
      <c r="F62">
        <v>97.61</v>
      </c>
      <c r="G62">
        <v>91.29</v>
      </c>
      <c r="H62">
        <v>86.66</v>
      </c>
      <c r="I62">
        <v>91.21</v>
      </c>
      <c r="J62">
        <v>97.71</v>
      </c>
      <c r="K62">
        <v>106.88</v>
      </c>
    </row>
    <row r="63" spans="1:11" x14ac:dyDescent="0.25">
      <c r="A63" s="6" t="s">
        <v>38</v>
      </c>
      <c r="B63">
        <v>0.49</v>
      </c>
      <c r="C63">
        <v>0.33</v>
      </c>
      <c r="D63">
        <v>0.94</v>
      </c>
      <c r="E63">
        <v>3.44</v>
      </c>
      <c r="F63">
        <v>1.89</v>
      </c>
      <c r="G63">
        <v>2.4700000000000002</v>
      </c>
      <c r="H63">
        <v>12.69</v>
      </c>
      <c r="I63">
        <v>9.24</v>
      </c>
      <c r="J63">
        <v>7.38</v>
      </c>
      <c r="K63">
        <v>7.83</v>
      </c>
    </row>
    <row r="64" spans="1:11" x14ac:dyDescent="0.25">
      <c r="A64" s="6" t="s">
        <v>39</v>
      </c>
    </row>
    <row r="65" spans="1:11" x14ac:dyDescent="0.25">
      <c r="A65" s="6" t="s">
        <v>40</v>
      </c>
      <c r="B65">
        <v>366.98</v>
      </c>
      <c r="C65">
        <v>429.08</v>
      </c>
      <c r="D65">
        <v>497.24</v>
      </c>
      <c r="E65">
        <v>560.39</v>
      </c>
      <c r="F65">
        <v>619.34</v>
      </c>
      <c r="G65">
        <v>700.09</v>
      </c>
      <c r="H65">
        <v>765.33</v>
      </c>
      <c r="I65">
        <v>833.22</v>
      </c>
      <c r="J65">
        <v>891.63</v>
      </c>
      <c r="K65">
        <v>942.87</v>
      </c>
    </row>
    <row r="66" spans="1:11" s="1" customFormat="1" x14ac:dyDescent="0.25">
      <c r="A66" s="1" t="s">
        <v>36</v>
      </c>
      <c r="B66">
        <v>479.93</v>
      </c>
      <c r="C66">
        <v>536.14</v>
      </c>
      <c r="D66">
        <v>598.91</v>
      </c>
      <c r="E66">
        <v>658.38</v>
      </c>
      <c r="F66">
        <v>718.84</v>
      </c>
      <c r="G66">
        <v>793.85</v>
      </c>
      <c r="H66">
        <v>864.68</v>
      </c>
      <c r="I66">
        <v>933.67</v>
      </c>
      <c r="J66">
        <v>996.72</v>
      </c>
      <c r="K66">
        <v>1057.58</v>
      </c>
    </row>
    <row r="67" spans="1:11" s="6" customFormat="1" x14ac:dyDescent="0.25">
      <c r="A67" s="6" t="s">
        <v>41</v>
      </c>
      <c r="B67">
        <v>33.64</v>
      </c>
      <c r="C67">
        <v>26.38</v>
      </c>
      <c r="D67">
        <v>63.6</v>
      </c>
      <c r="E67">
        <v>63.69</v>
      </c>
      <c r="F67">
        <v>49.53</v>
      </c>
      <c r="G67">
        <v>82.3</v>
      </c>
      <c r="H67">
        <v>87.11</v>
      </c>
      <c r="I67">
        <v>70.84</v>
      </c>
      <c r="J67">
        <v>50.74</v>
      </c>
      <c r="K67">
        <v>118.05</v>
      </c>
    </row>
    <row r="68" spans="1:11" x14ac:dyDescent="0.25">
      <c r="A68" s="6" t="s">
        <v>42</v>
      </c>
      <c r="B68">
        <v>92.32</v>
      </c>
      <c r="C68">
        <v>123.32</v>
      </c>
      <c r="D68">
        <v>93.13</v>
      </c>
      <c r="E68">
        <v>114.58</v>
      </c>
      <c r="F68">
        <v>214.59</v>
      </c>
      <c r="G68">
        <v>163.37</v>
      </c>
      <c r="H68">
        <v>179.62</v>
      </c>
      <c r="I68">
        <v>170.48</v>
      </c>
      <c r="J68">
        <v>145.72</v>
      </c>
      <c r="K68">
        <v>128.93</v>
      </c>
    </row>
    <row r="69" spans="1:11" x14ac:dyDescent="0.25">
      <c r="A69" s="2" t="s">
        <v>43</v>
      </c>
      <c r="B69">
        <v>155.44999999999999</v>
      </c>
      <c r="C69">
        <v>142.13999999999999</v>
      </c>
      <c r="D69">
        <v>191.83</v>
      </c>
      <c r="E69">
        <v>60.96</v>
      </c>
      <c r="F69">
        <v>35.479999999999997</v>
      </c>
      <c r="G69">
        <v>135.96</v>
      </c>
      <c r="H69">
        <v>277.33</v>
      </c>
      <c r="I69">
        <v>468.47</v>
      </c>
      <c r="J69">
        <v>540.79999999999995</v>
      </c>
      <c r="K69">
        <v>542.16</v>
      </c>
    </row>
    <row r="70" spans="1:11" x14ac:dyDescent="0.25">
      <c r="A70" s="2" t="s">
        <v>44</v>
      </c>
      <c r="B70">
        <v>10143071</v>
      </c>
      <c r="C70">
        <v>10143071</v>
      </c>
      <c r="D70">
        <v>10143071</v>
      </c>
      <c r="E70">
        <v>10143071</v>
      </c>
      <c r="F70">
        <v>10143071</v>
      </c>
      <c r="G70">
        <v>10143071</v>
      </c>
      <c r="H70">
        <v>10143071</v>
      </c>
      <c r="I70">
        <v>10143071</v>
      </c>
      <c r="J70">
        <v>10144000</v>
      </c>
      <c r="K70">
        <v>10144000</v>
      </c>
    </row>
    <row r="71" spans="1:11" x14ac:dyDescent="0.25">
      <c r="A71" s="2" t="s">
        <v>45</v>
      </c>
    </row>
    <row r="72" spans="1:11" x14ac:dyDescent="0.25">
      <c r="A72" s="2" t="s">
        <v>46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1" x14ac:dyDescent="0.25">
      <c r="A74" s="6"/>
    </row>
    <row r="75" spans="1:11" x14ac:dyDescent="0.25">
      <c r="A75" s="6"/>
    </row>
    <row r="76" spans="1:11" x14ac:dyDescent="0.25">
      <c r="A76" s="6"/>
    </row>
    <row r="77" spans="1:11" x14ac:dyDescent="0.25">
      <c r="A77" s="6"/>
    </row>
    <row r="78" spans="1:11" x14ac:dyDescent="0.25">
      <c r="A78" s="6"/>
    </row>
    <row r="79" spans="1:11" x14ac:dyDescent="0.25">
      <c r="A79" s="6"/>
    </row>
    <row r="80" spans="1:11" x14ac:dyDescent="0.25">
      <c r="A80" s="1" t="s">
        <v>47</v>
      </c>
    </row>
    <row r="81" spans="1:11" s="5" customFormat="1" x14ac:dyDescent="0.25">
      <c r="A81" s="3" t="s">
        <v>12</v>
      </c>
      <c r="B81" s="4">
        <v>42460</v>
      </c>
      <c r="C81" s="4">
        <v>42825</v>
      </c>
      <c r="D81" s="4">
        <v>43190</v>
      </c>
      <c r="E81" s="4">
        <v>43555</v>
      </c>
      <c r="F81" s="4">
        <v>43921</v>
      </c>
      <c r="G81" s="4">
        <v>44286</v>
      </c>
      <c r="H81" s="4">
        <v>44651</v>
      </c>
      <c r="I81" s="4">
        <v>45016</v>
      </c>
      <c r="J81" s="4">
        <v>45382</v>
      </c>
      <c r="K81" s="4">
        <v>45747</v>
      </c>
    </row>
    <row r="82" spans="1:11" s="1" customFormat="1" x14ac:dyDescent="0.25">
      <c r="A82" s="6" t="s">
        <v>48</v>
      </c>
      <c r="B82">
        <v>101.07</v>
      </c>
      <c r="C82">
        <v>39.880000000000003</v>
      </c>
      <c r="D82">
        <v>55</v>
      </c>
      <c r="E82">
        <v>20.59</v>
      </c>
      <c r="F82">
        <v>-17.62</v>
      </c>
      <c r="G82">
        <v>151.51</v>
      </c>
      <c r="H82">
        <v>36.9</v>
      </c>
      <c r="I82">
        <v>157.33000000000001</v>
      </c>
      <c r="J82">
        <v>105.64</v>
      </c>
      <c r="K82">
        <v>22.09</v>
      </c>
    </row>
    <row r="83" spans="1:11" s="6" customFormat="1" x14ac:dyDescent="0.25">
      <c r="A83" s="6" t="s">
        <v>49</v>
      </c>
      <c r="B83">
        <v>-86.38</v>
      </c>
      <c r="C83">
        <v>-13.87</v>
      </c>
      <c r="D83">
        <v>-65.48</v>
      </c>
      <c r="E83">
        <v>-12.66</v>
      </c>
      <c r="F83">
        <v>47.4</v>
      </c>
      <c r="G83">
        <v>-92.29</v>
      </c>
      <c r="H83">
        <v>16.010000000000002</v>
      </c>
      <c r="I83">
        <v>-148.36000000000001</v>
      </c>
      <c r="J83">
        <v>-96.69</v>
      </c>
      <c r="K83">
        <v>-69.05</v>
      </c>
    </row>
    <row r="84" spans="1:11" s="6" customFormat="1" x14ac:dyDescent="0.25">
      <c r="A84" s="6" t="s">
        <v>50</v>
      </c>
      <c r="B84">
        <v>-7.32</v>
      </c>
      <c r="C84">
        <v>-7.73</v>
      </c>
      <c r="D84">
        <v>-9.4</v>
      </c>
      <c r="E84">
        <v>-11.13</v>
      </c>
      <c r="F84">
        <v>-13.11</v>
      </c>
      <c r="G84">
        <v>-13.59</v>
      </c>
      <c r="H84">
        <v>-11.29</v>
      </c>
      <c r="I84">
        <v>-16.2</v>
      </c>
      <c r="J84">
        <v>-17.54</v>
      </c>
      <c r="K84">
        <v>-28.45</v>
      </c>
    </row>
    <row r="85" spans="1:11" s="1" customFormat="1" x14ac:dyDescent="0.25">
      <c r="A85" s="6" t="s">
        <v>51</v>
      </c>
      <c r="B85">
        <v>7.37</v>
      </c>
      <c r="C85">
        <v>18.28</v>
      </c>
      <c r="D85">
        <v>-19.88</v>
      </c>
      <c r="E85">
        <v>-3.2</v>
      </c>
      <c r="F85">
        <v>16.670000000000002</v>
      </c>
      <c r="G85">
        <v>45.63</v>
      </c>
      <c r="H85">
        <v>41.62</v>
      </c>
      <c r="I85">
        <v>-7.23</v>
      </c>
      <c r="J85">
        <v>-8.59</v>
      </c>
      <c r="K85">
        <v>-75.41</v>
      </c>
    </row>
    <row r="86" spans="1:11" x14ac:dyDescent="0.25">
      <c r="A86" s="6"/>
    </row>
    <row r="87" spans="1:11" x14ac:dyDescent="0.25">
      <c r="A87" s="6" t="s">
        <v>87</v>
      </c>
      <c r="B87" s="2" t="b">
        <f>B85=SUM(B82:B84)</f>
        <v>1</v>
      </c>
      <c r="C87" s="2" t="b">
        <f t="shared" ref="C87:K87" si="0">C85=SUM(C82:C84)</f>
        <v>1</v>
      </c>
      <c r="D87" s="2" t="b">
        <f t="shared" si="0"/>
        <v>1</v>
      </c>
      <c r="E87" s="2" t="b">
        <f t="shared" si="0"/>
        <v>1</v>
      </c>
      <c r="F87" s="2" t="b">
        <f t="shared" si="0"/>
        <v>1</v>
      </c>
      <c r="G87" s="2" t="b">
        <f t="shared" si="0"/>
        <v>1</v>
      </c>
      <c r="H87" s="2" t="b">
        <f t="shared" si="0"/>
        <v>1</v>
      </c>
      <c r="I87" s="2" t="b">
        <f t="shared" si="0"/>
        <v>1</v>
      </c>
      <c r="J87" s="2" t="b">
        <f t="shared" si="0"/>
        <v>1</v>
      </c>
      <c r="K87" s="2" t="b">
        <f t="shared" si="0"/>
        <v>1</v>
      </c>
    </row>
    <row r="88" spans="1:11" x14ac:dyDescent="0.25">
      <c r="A88" s="6"/>
    </row>
    <row r="89" spans="1:11" x14ac:dyDescent="0.25">
      <c r="A89" s="6"/>
    </row>
    <row r="90" spans="1:11" s="1" customFormat="1" x14ac:dyDescent="0.25">
      <c r="A90" s="1" t="s">
        <v>52</v>
      </c>
      <c r="B90">
        <v>1314.5</v>
      </c>
      <c r="C90">
        <v>1336.4</v>
      </c>
      <c r="D90">
        <v>1341.6</v>
      </c>
      <c r="E90">
        <v>1089</v>
      </c>
      <c r="F90">
        <v>840.4</v>
      </c>
      <c r="G90">
        <v>956.45</v>
      </c>
      <c r="H90">
        <v>1234</v>
      </c>
      <c r="I90">
        <v>2014.2</v>
      </c>
      <c r="J90">
        <v>2212.85</v>
      </c>
      <c r="K90">
        <v>2025.2</v>
      </c>
    </row>
    <row r="92" spans="1:11" s="1" customFormat="1" x14ac:dyDescent="0.25">
      <c r="A92" s="1" t="s">
        <v>53</v>
      </c>
    </row>
    <row r="93" spans="1:11" x14ac:dyDescent="0.25">
      <c r="A93" s="2" t="s">
        <v>54</v>
      </c>
      <c r="B93" s="7">
        <v>1.01</v>
      </c>
      <c r="C93" s="7">
        <v>1.01</v>
      </c>
      <c r="D93" s="7">
        <v>1.01</v>
      </c>
      <c r="E93" s="7">
        <v>1.01</v>
      </c>
      <c r="F93" s="7">
        <v>1.01</v>
      </c>
      <c r="G93" s="7">
        <v>1.01</v>
      </c>
      <c r="H93" s="7">
        <v>1.01</v>
      </c>
      <c r="I93" s="7">
        <v>1.01</v>
      </c>
      <c r="J93" s="7">
        <v>1.01</v>
      </c>
      <c r="K93" s="7">
        <v>1.01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33660685-ED7B-4971-9EEB-C951866B732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3981C-FD3E-4421-9C6B-A5646A7A0974}">
  <dimension ref="B2:N25"/>
  <sheetViews>
    <sheetView zoomScale="88" workbookViewId="0">
      <selection activeCell="R5" sqref="R5"/>
    </sheetView>
  </sheetViews>
  <sheetFormatPr defaultRowHeight="15" x14ac:dyDescent="0.25"/>
  <cols>
    <col min="2" max="2" width="34.140625" bestFit="1" customWidth="1"/>
    <col min="3" max="4" width="7.28515625" bestFit="1" customWidth="1"/>
    <col min="5" max="5" width="7.28515625" style="40" bestFit="1" customWidth="1"/>
    <col min="6" max="14" width="7.28515625" bestFit="1" customWidth="1"/>
  </cols>
  <sheetData>
    <row r="2" spans="2:14" ht="15.75" thickBot="1" x14ac:dyDescent="0.3">
      <c r="C2" s="27">
        <v>41699</v>
      </c>
      <c r="D2" s="27">
        <v>42064</v>
      </c>
      <c r="E2" s="37">
        <v>42430</v>
      </c>
      <c r="F2" s="27">
        <v>42795</v>
      </c>
      <c r="G2" s="27">
        <v>43160</v>
      </c>
      <c r="H2" s="27">
        <v>43525</v>
      </c>
      <c r="I2" s="27">
        <v>43891</v>
      </c>
      <c r="J2" s="27">
        <v>44256</v>
      </c>
      <c r="K2" s="27">
        <v>44621</v>
      </c>
      <c r="L2" s="27">
        <v>44986</v>
      </c>
      <c r="M2" s="27">
        <v>45352</v>
      </c>
      <c r="N2" s="27">
        <v>45717</v>
      </c>
    </row>
    <row r="3" spans="2:14" s="46" customFormat="1" ht="15.75" thickBot="1" x14ac:dyDescent="0.3">
      <c r="B3" s="44" t="s">
        <v>105</v>
      </c>
      <c r="C3" s="45">
        <v>16</v>
      </c>
      <c r="D3" s="45">
        <v>43</v>
      </c>
      <c r="E3" s="45">
        <v>101</v>
      </c>
      <c r="F3" s="45">
        <v>40</v>
      </c>
      <c r="G3" s="45">
        <v>55</v>
      </c>
      <c r="H3" s="45">
        <v>21</v>
      </c>
      <c r="I3" s="45">
        <v>-18</v>
      </c>
      <c r="J3" s="45">
        <v>152</v>
      </c>
      <c r="K3" s="45">
        <v>37</v>
      </c>
      <c r="L3" s="45">
        <v>157</v>
      </c>
      <c r="M3" s="45">
        <v>106</v>
      </c>
      <c r="N3" s="45">
        <v>22</v>
      </c>
    </row>
    <row r="4" spans="2:14" x14ac:dyDescent="0.25">
      <c r="B4" s="41" t="s">
        <v>88</v>
      </c>
      <c r="C4" s="42">
        <v>51</v>
      </c>
      <c r="D4" s="42">
        <v>74</v>
      </c>
      <c r="E4" s="43">
        <v>91</v>
      </c>
      <c r="F4" s="42">
        <v>97</v>
      </c>
      <c r="G4" s="42">
        <v>103</v>
      </c>
      <c r="H4" s="42">
        <v>93</v>
      </c>
      <c r="I4" s="42">
        <v>95</v>
      </c>
      <c r="J4" s="42">
        <v>72</v>
      </c>
      <c r="K4" s="42">
        <v>108</v>
      </c>
      <c r="L4" s="42">
        <v>137</v>
      </c>
      <c r="M4" s="42">
        <v>105</v>
      </c>
      <c r="N4" s="42">
        <v>97</v>
      </c>
    </row>
    <row r="5" spans="2:14" x14ac:dyDescent="0.25">
      <c r="B5" s="31" t="s">
        <v>41</v>
      </c>
      <c r="C5" s="32">
        <v>-12</v>
      </c>
      <c r="D5" s="32">
        <v>1</v>
      </c>
      <c r="E5" s="39">
        <v>4</v>
      </c>
      <c r="F5" s="32">
        <v>5</v>
      </c>
      <c r="G5" s="32">
        <v>-38</v>
      </c>
      <c r="H5" s="32">
        <v>-1</v>
      </c>
      <c r="I5" s="32">
        <v>14</v>
      </c>
      <c r="J5" s="32">
        <v>-32</v>
      </c>
      <c r="K5" s="32">
        <v>-6</v>
      </c>
      <c r="L5" s="32">
        <v>15</v>
      </c>
      <c r="M5" s="32">
        <v>21</v>
      </c>
      <c r="N5" s="32">
        <v>-68</v>
      </c>
    </row>
    <row r="6" spans="2:14" x14ac:dyDescent="0.25">
      <c r="B6" s="31" t="s">
        <v>42</v>
      </c>
      <c r="C6" s="32">
        <v>-6</v>
      </c>
      <c r="D6" s="32">
        <v>-11</v>
      </c>
      <c r="E6" s="39">
        <v>29</v>
      </c>
      <c r="F6" s="32">
        <v>-24</v>
      </c>
      <c r="G6" s="32">
        <v>30</v>
      </c>
      <c r="H6" s="32">
        <v>-21</v>
      </c>
      <c r="I6" s="32">
        <v>-100</v>
      </c>
      <c r="J6" s="32">
        <v>51</v>
      </c>
      <c r="K6" s="32">
        <v>-16</v>
      </c>
      <c r="L6" s="32">
        <v>9</v>
      </c>
      <c r="M6" s="32">
        <v>25</v>
      </c>
      <c r="N6" s="32">
        <v>17</v>
      </c>
    </row>
    <row r="7" spans="2:14" x14ac:dyDescent="0.25">
      <c r="B7" s="31" t="s">
        <v>89</v>
      </c>
      <c r="C7" s="32">
        <v>2</v>
      </c>
      <c r="D7" s="32">
        <v>15</v>
      </c>
      <c r="E7" s="39">
        <v>-6</v>
      </c>
      <c r="F7" s="32">
        <v>12</v>
      </c>
      <c r="G7" s="32">
        <v>5</v>
      </c>
      <c r="H7" s="32">
        <v>8</v>
      </c>
      <c r="I7" s="32">
        <v>5</v>
      </c>
      <c r="J7" s="32">
        <v>27</v>
      </c>
      <c r="K7" s="32">
        <v>3</v>
      </c>
      <c r="L7" s="32">
        <v>-23</v>
      </c>
      <c r="M7" s="32">
        <v>5</v>
      </c>
      <c r="N7" s="32">
        <v>-18</v>
      </c>
    </row>
    <row r="8" spans="2:14" x14ac:dyDescent="0.25">
      <c r="B8" s="31" t="s">
        <v>90</v>
      </c>
      <c r="C8" s="32">
        <v>-9</v>
      </c>
      <c r="D8" s="32">
        <v>-15</v>
      </c>
      <c r="E8" s="39">
        <v>-1</v>
      </c>
      <c r="F8" s="32">
        <v>0</v>
      </c>
      <c r="G8" s="32">
        <v>0</v>
      </c>
      <c r="H8" s="32">
        <v>0</v>
      </c>
      <c r="I8" s="32">
        <v>0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</row>
    <row r="9" spans="2:14" ht="15.75" thickBot="1" x14ac:dyDescent="0.3">
      <c r="B9" s="31" t="s">
        <v>91</v>
      </c>
      <c r="C9" s="32">
        <v>3</v>
      </c>
      <c r="D9" s="32">
        <v>3</v>
      </c>
      <c r="E9" s="39">
        <v>9</v>
      </c>
      <c r="F9" s="32">
        <v>-13</v>
      </c>
      <c r="G9" s="32">
        <v>-8</v>
      </c>
      <c r="H9" s="32">
        <v>-19</v>
      </c>
      <c r="I9" s="32">
        <v>-6</v>
      </c>
      <c r="J9" s="32">
        <v>52</v>
      </c>
      <c r="K9" s="32">
        <v>-25</v>
      </c>
      <c r="L9" s="32">
        <v>75</v>
      </c>
      <c r="M9" s="32">
        <v>-29</v>
      </c>
      <c r="N9" s="32">
        <v>26</v>
      </c>
    </row>
    <row r="10" spans="2:14" x14ac:dyDescent="0.25">
      <c r="B10" s="30" t="s">
        <v>92</v>
      </c>
      <c r="C10" s="29">
        <v>-22</v>
      </c>
      <c r="D10" s="29">
        <v>-7</v>
      </c>
      <c r="E10" s="38">
        <v>34</v>
      </c>
      <c r="F10" s="29">
        <v>-20</v>
      </c>
      <c r="G10" s="29">
        <v>-10</v>
      </c>
      <c r="H10" s="29">
        <v>-34</v>
      </c>
      <c r="I10" s="29">
        <v>-87</v>
      </c>
      <c r="J10" s="29">
        <v>98</v>
      </c>
      <c r="K10" s="29">
        <v>-44</v>
      </c>
      <c r="L10" s="29">
        <v>77</v>
      </c>
      <c r="M10" s="29">
        <v>22</v>
      </c>
      <c r="N10" s="29">
        <v>-43</v>
      </c>
    </row>
    <row r="11" spans="2:14" x14ac:dyDescent="0.25">
      <c r="B11" s="31" t="s">
        <v>93</v>
      </c>
      <c r="C11" s="32">
        <v>-14</v>
      </c>
      <c r="D11" s="32">
        <v>-24</v>
      </c>
      <c r="E11" s="39">
        <v>-25</v>
      </c>
      <c r="F11" s="32">
        <v>-37</v>
      </c>
      <c r="G11" s="32">
        <v>-38</v>
      </c>
      <c r="H11" s="32">
        <v>-35</v>
      </c>
      <c r="I11" s="32">
        <v>-30</v>
      </c>
      <c r="J11" s="32">
        <v>-18</v>
      </c>
      <c r="K11" s="32">
        <v>-27</v>
      </c>
      <c r="L11" s="32">
        <v>-39</v>
      </c>
      <c r="M11" s="32">
        <v>-25</v>
      </c>
      <c r="N11" s="32">
        <v>-32</v>
      </c>
    </row>
    <row r="12" spans="2:14" ht="15.75" thickBot="1" x14ac:dyDescent="0.3">
      <c r="B12" s="31" t="s">
        <v>94</v>
      </c>
      <c r="C12" s="32">
        <v>0</v>
      </c>
      <c r="D12" s="32">
        <v>0</v>
      </c>
      <c r="E12" s="39">
        <v>0</v>
      </c>
      <c r="F12" s="32">
        <v>0</v>
      </c>
      <c r="G12" s="32">
        <v>0</v>
      </c>
      <c r="H12" s="32">
        <v>-4</v>
      </c>
      <c r="I12" s="32">
        <v>4</v>
      </c>
      <c r="J12" s="32">
        <v>0</v>
      </c>
      <c r="K12" s="32">
        <v>0</v>
      </c>
      <c r="L12" s="32">
        <v>-18</v>
      </c>
      <c r="M12" s="32">
        <v>4</v>
      </c>
      <c r="N12" s="32">
        <v>0</v>
      </c>
    </row>
    <row r="13" spans="2:14" x14ac:dyDescent="0.25">
      <c r="B13" s="33" t="s">
        <v>106</v>
      </c>
      <c r="C13" s="34">
        <v>-13</v>
      </c>
      <c r="D13" s="34">
        <v>-44</v>
      </c>
      <c r="E13" s="38">
        <v>-86</v>
      </c>
      <c r="F13" s="34">
        <v>-14</v>
      </c>
      <c r="G13" s="34">
        <v>-65</v>
      </c>
      <c r="H13" s="34">
        <v>-13</v>
      </c>
      <c r="I13" s="34">
        <v>47</v>
      </c>
      <c r="J13" s="34">
        <v>-92</v>
      </c>
      <c r="K13" s="34">
        <v>16</v>
      </c>
      <c r="L13" s="34">
        <v>-148</v>
      </c>
      <c r="M13" s="34">
        <v>-97</v>
      </c>
      <c r="N13" s="34">
        <v>-69</v>
      </c>
    </row>
    <row r="14" spans="2:14" x14ac:dyDescent="0.25">
      <c r="B14" s="35" t="s">
        <v>95</v>
      </c>
      <c r="C14" s="36">
        <v>-20</v>
      </c>
      <c r="D14" s="36">
        <v>-27</v>
      </c>
      <c r="E14" s="39">
        <v>-13</v>
      </c>
      <c r="F14" s="36">
        <v>-13</v>
      </c>
      <c r="G14" s="36">
        <v>-16</v>
      </c>
      <c r="H14" s="36">
        <v>-18</v>
      </c>
      <c r="I14" s="36">
        <v>-22</v>
      </c>
      <c r="J14" s="36">
        <v>-15</v>
      </c>
      <c r="K14" s="36">
        <v>-17</v>
      </c>
      <c r="L14" s="36">
        <v>-30</v>
      </c>
      <c r="M14" s="36">
        <v>-23</v>
      </c>
      <c r="N14" s="36">
        <v>-41</v>
      </c>
    </row>
    <row r="15" spans="2:14" x14ac:dyDescent="0.25">
      <c r="B15" s="35" t="s">
        <v>96</v>
      </c>
      <c r="C15" s="36">
        <v>0</v>
      </c>
      <c r="D15" s="36">
        <v>0</v>
      </c>
      <c r="E15" s="39">
        <v>2</v>
      </c>
      <c r="F15" s="36">
        <v>0</v>
      </c>
      <c r="G15" s="36">
        <v>0</v>
      </c>
      <c r="H15" s="36">
        <v>1</v>
      </c>
      <c r="I15" s="36">
        <v>1</v>
      </c>
      <c r="J15" s="36">
        <v>1</v>
      </c>
      <c r="K15" s="36">
        <v>1</v>
      </c>
      <c r="L15" s="36">
        <v>1</v>
      </c>
      <c r="M15" s="36">
        <v>1</v>
      </c>
      <c r="N15" s="36">
        <v>1</v>
      </c>
    </row>
    <row r="16" spans="2:14" x14ac:dyDescent="0.25">
      <c r="B16" s="35" t="s">
        <v>97</v>
      </c>
      <c r="C16" s="36">
        <v>2</v>
      </c>
      <c r="D16" s="36">
        <v>4</v>
      </c>
      <c r="E16" s="39">
        <v>6</v>
      </c>
      <c r="F16" s="36">
        <v>11</v>
      </c>
      <c r="G16" s="36">
        <v>9</v>
      </c>
      <c r="H16" s="36">
        <v>18</v>
      </c>
      <c r="I16" s="36">
        <v>16</v>
      </c>
      <c r="J16" s="36">
        <v>13</v>
      </c>
      <c r="K16" s="36">
        <v>12</v>
      </c>
      <c r="L16" s="36">
        <v>11</v>
      </c>
      <c r="M16" s="36">
        <v>28</v>
      </c>
      <c r="N16" s="36">
        <v>34</v>
      </c>
    </row>
    <row r="17" spans="2:14" x14ac:dyDescent="0.25">
      <c r="B17" s="35" t="s">
        <v>98</v>
      </c>
      <c r="C17" s="36">
        <v>0</v>
      </c>
      <c r="D17" s="36">
        <v>0</v>
      </c>
      <c r="E17" s="39">
        <v>0</v>
      </c>
      <c r="F17" s="36">
        <v>0</v>
      </c>
      <c r="G17" s="36">
        <v>0</v>
      </c>
      <c r="H17" s="36">
        <v>0</v>
      </c>
      <c r="I17" s="36">
        <v>0</v>
      </c>
      <c r="J17" s="36">
        <v>160</v>
      </c>
      <c r="K17" s="36">
        <v>160</v>
      </c>
      <c r="L17" s="36">
        <v>0</v>
      </c>
      <c r="M17" s="36">
        <v>0</v>
      </c>
      <c r="N17" s="36">
        <v>0</v>
      </c>
    </row>
    <row r="18" spans="2:14" x14ac:dyDescent="0.25">
      <c r="B18" s="35" t="s">
        <v>99</v>
      </c>
      <c r="C18" s="36">
        <v>0</v>
      </c>
      <c r="D18" s="36">
        <v>0</v>
      </c>
      <c r="E18" s="39">
        <v>0</v>
      </c>
      <c r="F18" s="36">
        <v>0</v>
      </c>
      <c r="G18" s="36">
        <v>0</v>
      </c>
      <c r="H18" s="36">
        <v>-160</v>
      </c>
      <c r="I18" s="36">
        <v>0</v>
      </c>
      <c r="J18" s="36">
        <v>-160</v>
      </c>
      <c r="K18" s="36">
        <v>0</v>
      </c>
      <c r="L18" s="36">
        <v>0</v>
      </c>
      <c r="M18" s="36">
        <v>0</v>
      </c>
      <c r="N18" s="36">
        <v>0</v>
      </c>
    </row>
    <row r="19" spans="2:14" ht="15.75" thickBot="1" x14ac:dyDescent="0.3">
      <c r="B19" s="35" t="s">
        <v>100</v>
      </c>
      <c r="C19" s="36">
        <v>5</v>
      </c>
      <c r="D19" s="36">
        <v>-21</v>
      </c>
      <c r="E19" s="39">
        <v>-81</v>
      </c>
      <c r="F19" s="36">
        <v>-12</v>
      </c>
      <c r="G19" s="36">
        <v>-59</v>
      </c>
      <c r="H19" s="36">
        <v>147</v>
      </c>
      <c r="I19" s="36">
        <v>53</v>
      </c>
      <c r="J19" s="36">
        <v>-91</v>
      </c>
      <c r="K19" s="36">
        <v>-140</v>
      </c>
      <c r="L19" s="36">
        <v>-131</v>
      </c>
      <c r="M19" s="36">
        <v>-103</v>
      </c>
      <c r="N19" s="36">
        <v>-63</v>
      </c>
    </row>
    <row r="20" spans="2:14" x14ac:dyDescent="0.25">
      <c r="B20" s="28" t="s">
        <v>107</v>
      </c>
      <c r="C20" s="29">
        <v>-5</v>
      </c>
      <c r="D20" s="29">
        <v>-5</v>
      </c>
      <c r="E20" s="38">
        <v>-7</v>
      </c>
      <c r="F20" s="29">
        <v>-8</v>
      </c>
      <c r="G20" s="29">
        <v>-9</v>
      </c>
      <c r="H20" s="29">
        <v>-11</v>
      </c>
      <c r="I20" s="29">
        <v>-13</v>
      </c>
      <c r="J20" s="29">
        <v>-14</v>
      </c>
      <c r="K20" s="29">
        <v>-11</v>
      </c>
      <c r="L20" s="29">
        <v>-16</v>
      </c>
      <c r="M20" s="29">
        <v>-18</v>
      </c>
      <c r="N20" s="29">
        <v>-28</v>
      </c>
    </row>
    <row r="21" spans="2:14" x14ac:dyDescent="0.25">
      <c r="B21" s="31" t="s">
        <v>101</v>
      </c>
      <c r="C21" s="32">
        <v>0</v>
      </c>
      <c r="D21" s="32">
        <v>0</v>
      </c>
      <c r="E21" s="39">
        <v>0</v>
      </c>
      <c r="F21" s="32">
        <v>-0.4</v>
      </c>
      <c r="G21" s="32">
        <v>-0.24</v>
      </c>
      <c r="H21" s="32">
        <v>-0.12</v>
      </c>
      <c r="I21" s="32">
        <v>-0.3</v>
      </c>
      <c r="J21" s="32">
        <v>-0.28000000000000003</v>
      </c>
      <c r="K21" s="32">
        <v>-0.35</v>
      </c>
      <c r="L21" s="32">
        <v>-0.44</v>
      </c>
      <c r="M21" s="32">
        <v>-0.37</v>
      </c>
      <c r="N21" s="32">
        <v>-0.41</v>
      </c>
    </row>
    <row r="22" spans="2:14" x14ac:dyDescent="0.25">
      <c r="B22" s="31" t="s">
        <v>102</v>
      </c>
      <c r="C22" s="32">
        <v>-4.0599999999999996</v>
      </c>
      <c r="D22" s="32">
        <v>-4.05</v>
      </c>
      <c r="E22" s="39">
        <v>-6.09</v>
      </c>
      <c r="F22" s="32">
        <v>-6.09</v>
      </c>
      <c r="G22" s="32">
        <v>-7.61</v>
      </c>
      <c r="H22" s="32">
        <v>-9.1300000000000008</v>
      </c>
      <c r="I22" s="32">
        <v>-10.14</v>
      </c>
      <c r="J22" s="32">
        <v>-12.68</v>
      </c>
      <c r="K22" s="32">
        <v>-10.14</v>
      </c>
      <c r="L22" s="32">
        <v>-15.21</v>
      </c>
      <c r="M22" s="32">
        <v>-16.73</v>
      </c>
      <c r="N22" s="32">
        <v>-27.78</v>
      </c>
    </row>
    <row r="23" spans="2:14" x14ac:dyDescent="0.25">
      <c r="B23" s="31" t="s">
        <v>103</v>
      </c>
      <c r="C23" s="32">
        <v>0</v>
      </c>
      <c r="D23" s="32">
        <v>0</v>
      </c>
      <c r="E23" s="39">
        <v>0</v>
      </c>
      <c r="F23" s="32">
        <v>0</v>
      </c>
      <c r="G23" s="32">
        <v>0</v>
      </c>
      <c r="H23" s="32">
        <v>0</v>
      </c>
      <c r="I23" s="32">
        <v>-0.59</v>
      </c>
      <c r="J23" s="32">
        <v>-0.63</v>
      </c>
      <c r="K23" s="32">
        <v>-0.8</v>
      </c>
      <c r="L23" s="32">
        <v>-0.55000000000000004</v>
      </c>
      <c r="M23" s="32">
        <v>-0.44</v>
      </c>
      <c r="N23" s="32">
        <v>-0.26</v>
      </c>
    </row>
    <row r="24" spans="2:14" ht="15.75" thickBot="1" x14ac:dyDescent="0.3">
      <c r="B24" s="31" t="s">
        <v>104</v>
      </c>
      <c r="C24" s="32">
        <v>-0.69</v>
      </c>
      <c r="D24" s="32">
        <v>-0.69</v>
      </c>
      <c r="E24" s="39">
        <v>-1.24</v>
      </c>
      <c r="F24" s="32">
        <v>-1.24</v>
      </c>
      <c r="G24" s="32">
        <v>-1.55</v>
      </c>
      <c r="H24" s="32">
        <v>-1.88</v>
      </c>
      <c r="I24" s="32">
        <v>-2.08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</row>
    <row r="25" spans="2:14" x14ac:dyDescent="0.25">
      <c r="B25" s="33" t="s">
        <v>51</v>
      </c>
      <c r="C25" s="34">
        <v>-1</v>
      </c>
      <c r="D25" s="34">
        <v>-5</v>
      </c>
      <c r="E25" s="38">
        <v>7</v>
      </c>
      <c r="F25" s="34">
        <v>18</v>
      </c>
      <c r="G25" s="34">
        <v>-20</v>
      </c>
      <c r="H25" s="34">
        <v>-3</v>
      </c>
      <c r="I25" s="34">
        <v>17</v>
      </c>
      <c r="J25" s="34">
        <v>46</v>
      </c>
      <c r="K25" s="34">
        <v>42</v>
      </c>
      <c r="L25" s="34">
        <v>-7</v>
      </c>
      <c r="M25" s="34">
        <v>-9</v>
      </c>
      <c r="N25" s="34">
        <v>-75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Financials</vt:lpstr>
      <vt:lpstr>historicalFS</vt:lpstr>
      <vt:lpstr>Ratio Analysis</vt:lpstr>
      <vt:lpstr>forecasting</vt:lpstr>
      <vt:lpstr>Sheet1</vt:lpstr>
      <vt:lpstr>Data&gt;</vt:lpstr>
      <vt:lpstr>Data Sheet</vt:lpstr>
      <vt:lpstr>Cash Flow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.</dc:creator>
  <cp:lastModifiedBy>ricky .</cp:lastModifiedBy>
  <dcterms:created xsi:type="dcterms:W3CDTF">2025-12-09T08:56:21Z</dcterms:created>
  <dcterms:modified xsi:type="dcterms:W3CDTF">2026-08-14T18:05:29Z</dcterms:modified>
</cp:coreProperties>
</file>